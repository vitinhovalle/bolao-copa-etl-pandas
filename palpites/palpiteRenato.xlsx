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D48B6998-F1F5-47FC-9CB0-BA5A74C157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olão" sheetId="1" r:id="rId1"/>
    <sheet name="Matriz" sheetId="2" r:id="rId2"/>
  </sheets>
  <definedNames>
    <definedName name="_xlnm._FilterDatabase" localSheetId="0" hidden="1">Bolão!$F$1:$F$122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1" l="1"/>
  <c r="P45" i="1"/>
  <c r="Z39" i="1"/>
  <c r="AV92" i="1"/>
  <c r="AX92" i="1"/>
  <c r="AW92" i="1"/>
  <c r="AY92" i="1"/>
  <c r="H45" i="1"/>
  <c r="Q47" i="1"/>
  <c r="Y41" i="1"/>
  <c r="AV93" i="1"/>
  <c r="AX93" i="1"/>
  <c r="AW93" i="1"/>
  <c r="AY93" i="1"/>
  <c r="G47" i="1"/>
  <c r="Q45" i="1"/>
  <c r="Z41" i="1"/>
  <c r="AV94" i="1"/>
  <c r="AX94" i="1"/>
  <c r="AW94" i="1"/>
  <c r="AY94" i="1"/>
  <c r="H47" i="1"/>
  <c r="P47" i="1"/>
  <c r="Y39" i="1"/>
  <c r="AV95" i="1"/>
  <c r="AX95" i="1"/>
  <c r="AW95" i="1"/>
  <c r="AY95" i="1"/>
  <c r="AI34" i="1"/>
  <c r="AJ34" i="1"/>
  <c r="BD91" i="1"/>
  <c r="AK34" i="1"/>
  <c r="BE91" i="1"/>
  <c r="AL34" i="1"/>
  <c r="BF91" i="1"/>
  <c r="BG91" i="1"/>
  <c r="G43" i="1"/>
  <c r="P43" i="1"/>
  <c r="Z43" i="1"/>
  <c r="AP92" i="1"/>
  <c r="AR92" i="1"/>
  <c r="AQ92" i="1"/>
  <c r="AS92" i="1"/>
  <c r="H43" i="1"/>
  <c r="Q49" i="1"/>
  <c r="Y45" i="1"/>
  <c r="AP94" i="1"/>
  <c r="AR94" i="1"/>
  <c r="AQ94" i="1"/>
  <c r="AS94" i="1"/>
  <c r="H49" i="1"/>
  <c r="P49" i="1"/>
  <c r="Y43" i="1"/>
  <c r="AP93" i="1"/>
  <c r="AR93" i="1"/>
  <c r="AQ93" i="1"/>
  <c r="AS93" i="1"/>
  <c r="G49" i="1"/>
  <c r="Q43" i="1"/>
  <c r="Z45" i="1"/>
  <c r="AP95" i="1"/>
  <c r="AR95" i="1"/>
  <c r="AQ95" i="1"/>
  <c r="AS95" i="1"/>
  <c r="AC34" i="1"/>
  <c r="AD34" i="1"/>
  <c r="BD88" i="1"/>
  <c r="AE34" i="1"/>
  <c r="BE88" i="1"/>
  <c r="AF34" i="1"/>
  <c r="BF88" i="1"/>
  <c r="BG88" i="1"/>
  <c r="G39" i="1"/>
  <c r="P35" i="1"/>
  <c r="Z49" i="1"/>
  <c r="AJ92" i="1"/>
  <c r="AL92" i="1"/>
  <c r="AK92" i="1"/>
  <c r="AM92" i="1"/>
  <c r="H39" i="1"/>
  <c r="Q41" i="1"/>
  <c r="Y47" i="1"/>
  <c r="AJ94" i="1"/>
  <c r="AL94" i="1"/>
  <c r="AK94" i="1"/>
  <c r="AM94" i="1"/>
  <c r="G41" i="1"/>
  <c r="Q35" i="1"/>
  <c r="Z47" i="1"/>
  <c r="AJ93" i="1"/>
  <c r="AL93" i="1"/>
  <c r="AK93" i="1"/>
  <c r="AM93" i="1"/>
  <c r="H41" i="1"/>
  <c r="P41" i="1"/>
  <c r="Y49" i="1"/>
  <c r="AJ95" i="1"/>
  <c r="AL95" i="1"/>
  <c r="AK95" i="1"/>
  <c r="AM95" i="1"/>
  <c r="AI28" i="1"/>
  <c r="AJ28" i="1"/>
  <c r="BD85" i="1"/>
  <c r="AK28" i="1"/>
  <c r="BE85" i="1"/>
  <c r="AL28" i="1"/>
  <c r="BF85" i="1"/>
  <c r="BG85" i="1"/>
  <c r="G35" i="1"/>
  <c r="P37" i="1"/>
  <c r="Z27" i="1"/>
  <c r="AD92" i="1"/>
  <c r="AF92" i="1"/>
  <c r="AE92" i="1"/>
  <c r="AG92" i="1"/>
  <c r="H35" i="1"/>
  <c r="Q39" i="1"/>
  <c r="Y29" i="1"/>
  <c r="AD94" i="1"/>
  <c r="AF94" i="1"/>
  <c r="AE94" i="1"/>
  <c r="AG94" i="1"/>
  <c r="H37" i="1"/>
  <c r="P39" i="1"/>
  <c r="Y27" i="1"/>
  <c r="AD93" i="1"/>
  <c r="AF93" i="1"/>
  <c r="AE93" i="1"/>
  <c r="AG93" i="1"/>
  <c r="G37" i="1"/>
  <c r="Q37" i="1"/>
  <c r="Z29" i="1"/>
  <c r="AD95" i="1"/>
  <c r="AF95" i="1"/>
  <c r="AE95" i="1"/>
  <c r="AG95" i="1"/>
  <c r="AC28" i="1"/>
  <c r="AD28" i="1"/>
  <c r="BD82" i="1"/>
  <c r="AE28" i="1"/>
  <c r="BE82" i="1"/>
  <c r="AF28" i="1"/>
  <c r="BF82" i="1"/>
  <c r="BG82" i="1"/>
  <c r="G27" i="1"/>
  <c r="P27" i="1"/>
  <c r="Z33" i="1"/>
  <c r="AV86" i="1"/>
  <c r="AX86" i="1"/>
  <c r="AW86" i="1"/>
  <c r="AY86" i="1"/>
  <c r="H27" i="1"/>
  <c r="Q31" i="1"/>
  <c r="Y31" i="1"/>
  <c r="AV89" i="1"/>
  <c r="AX89" i="1"/>
  <c r="AW89" i="1"/>
  <c r="AY89" i="1"/>
  <c r="H31" i="1"/>
  <c r="P31" i="1"/>
  <c r="Y33" i="1"/>
  <c r="AV87" i="1"/>
  <c r="AX87" i="1"/>
  <c r="AW87" i="1"/>
  <c r="AY87" i="1"/>
  <c r="G31" i="1"/>
  <c r="Q27" i="1"/>
  <c r="Z31" i="1"/>
  <c r="AV88" i="1"/>
  <c r="AX88" i="1"/>
  <c r="AW88" i="1"/>
  <c r="AY88" i="1"/>
  <c r="AI22" i="1"/>
  <c r="AJ22" i="1"/>
  <c r="BD90" i="1"/>
  <c r="AK22" i="1"/>
  <c r="BE90" i="1"/>
  <c r="AL22" i="1"/>
  <c r="BF90" i="1"/>
  <c r="BG90" i="1"/>
  <c r="G29" i="1"/>
  <c r="P29" i="1"/>
  <c r="Z35" i="1"/>
  <c r="AP86" i="1"/>
  <c r="AR86" i="1"/>
  <c r="AQ86" i="1"/>
  <c r="AS86" i="1"/>
  <c r="H29" i="1"/>
  <c r="Q33" i="1"/>
  <c r="Y37" i="1"/>
  <c r="AP88" i="1"/>
  <c r="AR88" i="1"/>
  <c r="AQ88" i="1"/>
  <c r="AS88" i="1"/>
  <c r="G33" i="1"/>
  <c r="Q29" i="1"/>
  <c r="Z37" i="1"/>
  <c r="AP87" i="1"/>
  <c r="AR87" i="1"/>
  <c r="AQ87" i="1"/>
  <c r="AS87" i="1"/>
  <c r="H33" i="1"/>
  <c r="P33" i="1"/>
  <c r="Y35" i="1"/>
  <c r="AP89" i="1"/>
  <c r="AR89" i="1"/>
  <c r="AQ89" i="1"/>
  <c r="AS89" i="1"/>
  <c r="AC22" i="1"/>
  <c r="AD22" i="1"/>
  <c r="BD87" i="1"/>
  <c r="AE22" i="1"/>
  <c r="BE87" i="1"/>
  <c r="AF22" i="1"/>
  <c r="BF87" i="1"/>
  <c r="BG87" i="1"/>
  <c r="G21" i="1"/>
  <c r="P19" i="1"/>
  <c r="Z19" i="1"/>
  <c r="AJ86" i="1"/>
  <c r="AL86" i="1"/>
  <c r="AK86" i="1"/>
  <c r="AM86" i="1"/>
  <c r="H21" i="1"/>
  <c r="Q25" i="1"/>
  <c r="Y21" i="1"/>
  <c r="AJ87" i="1"/>
  <c r="AL87" i="1"/>
  <c r="AK87" i="1"/>
  <c r="AM87" i="1"/>
  <c r="G25" i="1"/>
  <c r="Q19" i="1"/>
  <c r="Z21" i="1"/>
  <c r="AJ88" i="1"/>
  <c r="AL88" i="1"/>
  <c r="AK88" i="1"/>
  <c r="AM88" i="1"/>
  <c r="H25" i="1"/>
  <c r="P25" i="1"/>
  <c r="Y19" i="1"/>
  <c r="AJ89" i="1"/>
  <c r="AL89" i="1"/>
  <c r="AK89" i="1"/>
  <c r="AM89" i="1"/>
  <c r="AI16" i="1"/>
  <c r="AJ16" i="1"/>
  <c r="BD84" i="1"/>
  <c r="AK16" i="1"/>
  <c r="BE84" i="1"/>
  <c r="AL16" i="1"/>
  <c r="BF84" i="1"/>
  <c r="BG84" i="1"/>
  <c r="G19" i="1"/>
  <c r="P21" i="1"/>
  <c r="Z17" i="1"/>
  <c r="AD86" i="1"/>
  <c r="AF86" i="1"/>
  <c r="AE86" i="1"/>
  <c r="AG86" i="1"/>
  <c r="H19" i="1"/>
  <c r="Q23" i="1"/>
  <c r="Y15" i="1"/>
  <c r="AD89" i="1"/>
  <c r="AF89" i="1"/>
  <c r="AE89" i="1"/>
  <c r="AG89" i="1"/>
  <c r="G23" i="1"/>
  <c r="Q21" i="1"/>
  <c r="Z15" i="1"/>
  <c r="AD87" i="1"/>
  <c r="AF87" i="1"/>
  <c r="AE87" i="1"/>
  <c r="AG87" i="1"/>
  <c r="H23" i="1"/>
  <c r="P23" i="1"/>
  <c r="Y17" i="1"/>
  <c r="AD88" i="1"/>
  <c r="AF88" i="1"/>
  <c r="AE88" i="1"/>
  <c r="AG88" i="1"/>
  <c r="AC16" i="1"/>
  <c r="AD16" i="1"/>
  <c r="BD81" i="1"/>
  <c r="AE16" i="1"/>
  <c r="BE81" i="1"/>
  <c r="AF16" i="1"/>
  <c r="BF81" i="1"/>
  <c r="BG81" i="1"/>
  <c r="G9" i="1"/>
  <c r="P11" i="1"/>
  <c r="Z23" i="1"/>
  <c r="AV81" i="1"/>
  <c r="AX81" i="1"/>
  <c r="AW81" i="1"/>
  <c r="AY81" i="1"/>
  <c r="H9" i="1"/>
  <c r="Q17" i="1"/>
  <c r="Y25" i="1"/>
  <c r="AV82" i="1"/>
  <c r="AX82" i="1"/>
  <c r="AW82" i="1"/>
  <c r="AY82" i="1"/>
  <c r="H17" i="1"/>
  <c r="P17" i="1"/>
  <c r="Y23" i="1"/>
  <c r="AV80" i="1"/>
  <c r="AX80" i="1"/>
  <c r="AW80" i="1"/>
  <c r="AY80" i="1"/>
  <c r="G17" i="1"/>
  <c r="Q11" i="1"/>
  <c r="Z25" i="1"/>
  <c r="AV83" i="1"/>
  <c r="AX83" i="1"/>
  <c r="AW83" i="1"/>
  <c r="AY83" i="1"/>
  <c r="AI10" i="1"/>
  <c r="AJ10" i="1"/>
  <c r="BD89" i="1"/>
  <c r="AK10" i="1"/>
  <c r="BE89" i="1"/>
  <c r="AL10" i="1"/>
  <c r="BF89" i="1"/>
  <c r="BG89" i="1"/>
  <c r="G13" i="1"/>
  <c r="P15" i="1"/>
  <c r="Z9" i="1"/>
  <c r="AP80" i="1"/>
  <c r="AR80" i="1"/>
  <c r="AQ80" i="1"/>
  <c r="AS80" i="1"/>
  <c r="H13" i="1"/>
  <c r="Q13" i="1"/>
  <c r="Y7" i="1"/>
  <c r="AP81" i="1"/>
  <c r="AR81" i="1"/>
  <c r="AQ81" i="1"/>
  <c r="AS81" i="1"/>
  <c r="H15" i="1"/>
  <c r="P13" i="1"/>
  <c r="Y9" i="1"/>
  <c r="AP82" i="1"/>
  <c r="AR82" i="1"/>
  <c r="AQ82" i="1"/>
  <c r="AS82" i="1"/>
  <c r="G15" i="1"/>
  <c r="Q15" i="1"/>
  <c r="Z7" i="1"/>
  <c r="AP83" i="1"/>
  <c r="AR83" i="1"/>
  <c r="AQ83" i="1"/>
  <c r="AS83" i="1"/>
  <c r="AC10" i="1"/>
  <c r="AD10" i="1"/>
  <c r="BD86" i="1"/>
  <c r="AE10" i="1"/>
  <c r="BE86" i="1"/>
  <c r="AF10" i="1"/>
  <c r="BF86" i="1"/>
  <c r="BG86" i="1"/>
  <c r="H7" i="1"/>
  <c r="Q5" i="1"/>
  <c r="Y5" i="1"/>
  <c r="AJ81" i="1"/>
  <c r="AL81" i="1"/>
  <c r="AK81" i="1"/>
  <c r="AM81" i="1"/>
  <c r="G7" i="1"/>
  <c r="P7" i="1"/>
  <c r="Z3" i="1"/>
  <c r="AJ82" i="1"/>
  <c r="AL82" i="1"/>
  <c r="AK82" i="1"/>
  <c r="AM82" i="1"/>
  <c r="H11" i="1"/>
  <c r="P5" i="1"/>
  <c r="Y3" i="1"/>
  <c r="AJ80" i="1"/>
  <c r="AL80" i="1"/>
  <c r="AK80" i="1"/>
  <c r="AM80" i="1"/>
  <c r="G11" i="1"/>
  <c r="Q7" i="1"/>
  <c r="Z5" i="1"/>
  <c r="AJ83" i="1"/>
  <c r="AL83" i="1"/>
  <c r="AK83" i="1"/>
  <c r="AM83" i="1"/>
  <c r="AI4" i="1"/>
  <c r="AJ4" i="1"/>
  <c r="BD83" i="1"/>
  <c r="AK4" i="1"/>
  <c r="BE83" i="1"/>
  <c r="AL4" i="1"/>
  <c r="BF83" i="1"/>
  <c r="BG83" i="1"/>
  <c r="G3" i="1"/>
  <c r="P9" i="1"/>
  <c r="Z13" i="1"/>
  <c r="AD80" i="1"/>
  <c r="AE80" i="1"/>
  <c r="AF80" i="1"/>
  <c r="AG80" i="1"/>
  <c r="H3" i="1"/>
  <c r="Q3" i="1"/>
  <c r="Y11" i="1"/>
  <c r="AD83" i="1"/>
  <c r="AE83" i="1"/>
  <c r="AF83" i="1"/>
  <c r="AG83" i="1"/>
  <c r="H5" i="1"/>
  <c r="P3" i="1"/>
  <c r="Y13" i="1"/>
  <c r="AD81" i="1"/>
  <c r="AE81" i="1"/>
  <c r="AF81" i="1"/>
  <c r="AG81" i="1"/>
  <c r="G5" i="1"/>
  <c r="Q9" i="1"/>
  <c r="Z11" i="1"/>
  <c r="AD82" i="1"/>
  <c r="AE82" i="1"/>
  <c r="AF82" i="1"/>
  <c r="AG82" i="1"/>
  <c r="AC4" i="1"/>
  <c r="AD4" i="1"/>
  <c r="BD80" i="1"/>
  <c r="AE4" i="1"/>
  <c r="BE80" i="1"/>
  <c r="AF4" i="1"/>
  <c r="BF80" i="1"/>
  <c r="BG80" i="1"/>
  <c r="J33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AI33" i="1"/>
  <c r="E84" i="1"/>
  <c r="AI35" i="1"/>
  <c r="AI32" i="1"/>
  <c r="A75" i="1"/>
  <c r="N72" i="1"/>
  <c r="N96" i="1"/>
  <c r="AI27" i="1"/>
  <c r="E87" i="1"/>
  <c r="AI29" i="1"/>
  <c r="AI26" i="1"/>
  <c r="A93" i="1"/>
  <c r="J81" i="1"/>
  <c r="J99" i="1"/>
  <c r="AC27" i="1"/>
  <c r="E69" i="1"/>
  <c r="N69" i="1"/>
  <c r="AC29" i="1"/>
  <c r="AC26" i="1"/>
  <c r="A66" i="1"/>
  <c r="N63" i="1"/>
  <c r="AC20" i="1"/>
  <c r="A81" i="1"/>
  <c r="N78" i="1"/>
  <c r="N93" i="1"/>
  <c r="AC21" i="1"/>
  <c r="E99" i="1"/>
  <c r="AC23" i="1"/>
  <c r="AI20" i="1"/>
  <c r="A87" i="1"/>
  <c r="N75" i="1"/>
  <c r="J93" i="1"/>
  <c r="W85" i="1"/>
  <c r="S93" i="1"/>
  <c r="AI21" i="1"/>
  <c r="E93" i="1"/>
  <c r="AI23" i="1"/>
  <c r="AI14" i="1"/>
  <c r="A60" i="1"/>
  <c r="AI15" i="1"/>
  <c r="E63" i="1"/>
  <c r="J69" i="1"/>
  <c r="J96" i="1"/>
  <c r="S88" i="1"/>
  <c r="W93" i="1"/>
  <c r="AI17" i="1"/>
  <c r="AI8" i="1"/>
  <c r="A78" i="1"/>
  <c r="AI9" i="1"/>
  <c r="A99" i="1"/>
  <c r="N81" i="1"/>
  <c r="AI11" i="1"/>
  <c r="AI2" i="1"/>
  <c r="A90" i="1"/>
  <c r="J84" i="1"/>
  <c r="N99" i="1"/>
  <c r="W88" i="1"/>
  <c r="W99" i="1"/>
  <c r="AI3" i="1"/>
  <c r="E54" i="1"/>
  <c r="J66" i="1"/>
  <c r="AI5" i="1"/>
  <c r="AC33" i="1"/>
  <c r="A84" i="1"/>
  <c r="J75" i="1"/>
  <c r="AC35" i="1"/>
  <c r="AC32" i="1"/>
  <c r="A96" i="1"/>
  <c r="N84" i="1"/>
  <c r="AC3" i="1"/>
  <c r="A54" i="1"/>
  <c r="AC5" i="1"/>
  <c r="AC8" i="1"/>
  <c r="A63" i="1"/>
  <c r="AC9" i="1"/>
  <c r="E60" i="1"/>
  <c r="N66" i="1"/>
  <c r="N90" i="1"/>
  <c r="S85" i="1"/>
  <c r="S99" i="1"/>
  <c r="AB99" i="1"/>
  <c r="AC11" i="1"/>
  <c r="AL5" i="1"/>
  <c r="AK5" i="1"/>
  <c r="AJ5" i="1"/>
  <c r="AL3" i="1"/>
  <c r="AK3" i="1"/>
  <c r="AJ3" i="1"/>
  <c r="AJ2" i="1"/>
  <c r="AL2" i="1"/>
  <c r="AK2" i="1"/>
  <c r="BC83" i="1"/>
  <c r="AL11" i="1"/>
  <c r="AK11" i="1"/>
  <c r="AJ11" i="1"/>
  <c r="BC89" i="1"/>
  <c r="AL9" i="1"/>
  <c r="AK9" i="1"/>
  <c r="AJ9" i="1"/>
  <c r="AJ8" i="1"/>
  <c r="AL8" i="1"/>
  <c r="AK8" i="1"/>
  <c r="AL17" i="1"/>
  <c r="AK17" i="1"/>
  <c r="AJ17" i="1"/>
  <c r="BC84" i="1"/>
  <c r="AL15" i="1"/>
  <c r="AK15" i="1"/>
  <c r="AJ15" i="1"/>
  <c r="AJ14" i="1"/>
  <c r="AL14" i="1"/>
  <c r="AK14" i="1"/>
  <c r="AL23" i="1"/>
  <c r="AK23" i="1"/>
  <c r="AJ23" i="1"/>
  <c r="BC90" i="1"/>
  <c r="AL21" i="1"/>
  <c r="AK21" i="1"/>
  <c r="AJ21" i="1"/>
  <c r="AJ20" i="1"/>
  <c r="AL20" i="1"/>
  <c r="AK20" i="1"/>
  <c r="AF23" i="1"/>
  <c r="AE23" i="1"/>
  <c r="AD23" i="1"/>
  <c r="BC87" i="1"/>
  <c r="AF21" i="1"/>
  <c r="AE21" i="1"/>
  <c r="AD21" i="1"/>
  <c r="AD20" i="1"/>
  <c r="AF20" i="1"/>
  <c r="AE20" i="1"/>
  <c r="AF26" i="1"/>
  <c r="AE26" i="1"/>
  <c r="AD26" i="1"/>
  <c r="AF29" i="1"/>
  <c r="AE29" i="1"/>
  <c r="AD29" i="1"/>
  <c r="BC82" i="1"/>
  <c r="AF27" i="1"/>
  <c r="AE27" i="1"/>
  <c r="AD27" i="1"/>
  <c r="AL26" i="1"/>
  <c r="AK26" i="1"/>
  <c r="AJ26" i="1"/>
  <c r="AL29" i="1"/>
  <c r="AK29" i="1"/>
  <c r="AJ29" i="1"/>
  <c r="BC85" i="1"/>
  <c r="AL27" i="1"/>
  <c r="AK27" i="1"/>
  <c r="AJ27" i="1"/>
  <c r="AL32" i="1"/>
  <c r="AK32" i="1"/>
  <c r="AJ32" i="1"/>
  <c r="AL35" i="1"/>
  <c r="AK35" i="1"/>
  <c r="AJ35" i="1"/>
  <c r="BC91" i="1"/>
  <c r="AL33" i="1"/>
  <c r="AK33" i="1"/>
  <c r="AJ33" i="1"/>
  <c r="AF32" i="1"/>
  <c r="AE32" i="1"/>
  <c r="AD32" i="1"/>
  <c r="AF35" i="1"/>
  <c r="AE35" i="1"/>
  <c r="AD35" i="1"/>
  <c r="BC88" i="1"/>
  <c r="AF33" i="1"/>
  <c r="AE33" i="1"/>
  <c r="AD33" i="1"/>
  <c r="AF5" i="1"/>
  <c r="AE5" i="1"/>
  <c r="AD5" i="1"/>
  <c r="AF3" i="1"/>
  <c r="AE3" i="1"/>
  <c r="AD3" i="1"/>
  <c r="AC14" i="1"/>
  <c r="A57" i="1"/>
  <c r="J63" i="1"/>
  <c r="J90" i="1"/>
  <c r="AC15" i="1"/>
  <c r="A69" i="1"/>
  <c r="AC17" i="1"/>
  <c r="AC2" i="1"/>
  <c r="AD2" i="1"/>
  <c r="A72" i="1"/>
  <c r="J72" i="1"/>
  <c r="AF17" i="1"/>
  <c r="AE17" i="1"/>
  <c r="AD17" i="1"/>
  <c r="BC81" i="1"/>
  <c r="AF15" i="1"/>
  <c r="AE15" i="1"/>
  <c r="AD15" i="1"/>
  <c r="AD14" i="1"/>
  <c r="AF14" i="1"/>
  <c r="AE14" i="1"/>
  <c r="AF11" i="1"/>
  <c r="AE11" i="1"/>
  <c r="AD11" i="1"/>
  <c r="BC86" i="1"/>
  <c r="AF9" i="1"/>
  <c r="AE9" i="1"/>
  <c r="AD9" i="1"/>
  <c r="AD8" i="1"/>
  <c r="AF8" i="1"/>
  <c r="AE8" i="1"/>
  <c r="BC80" i="1"/>
  <c r="AF2" i="1"/>
  <c r="AE2" i="1"/>
  <c r="AC39" i="1"/>
  <c r="AC40" i="1"/>
  <c r="AC41" i="1"/>
  <c r="AC42" i="1"/>
  <c r="AC43" i="1"/>
  <c r="AC44" i="1"/>
  <c r="AC45" i="1"/>
  <c r="AC46" i="1"/>
  <c r="AC47" i="1"/>
  <c r="AC48" i="1"/>
  <c r="AC49" i="1"/>
  <c r="AC38" i="1"/>
  <c r="AD38" i="1"/>
  <c r="AE38" i="1"/>
  <c r="AF38" i="1"/>
  <c r="AG38" i="1"/>
  <c r="AF49" i="1"/>
  <c r="AE49" i="1"/>
  <c r="AD49" i="1"/>
  <c r="AG49" i="1"/>
  <c r="AF48" i="1"/>
  <c r="AE48" i="1"/>
  <c r="AD48" i="1"/>
  <c r="AG48" i="1"/>
  <c r="AF47" i="1"/>
  <c r="AE47" i="1"/>
  <c r="AD47" i="1"/>
  <c r="AG47" i="1"/>
  <c r="AF46" i="1"/>
  <c r="AE46" i="1"/>
  <c r="AD46" i="1"/>
  <c r="AG46" i="1"/>
  <c r="AF45" i="1"/>
  <c r="AE45" i="1"/>
  <c r="AD45" i="1"/>
  <c r="AG45" i="1"/>
  <c r="AF44" i="1"/>
  <c r="AE44" i="1"/>
  <c r="AD44" i="1"/>
  <c r="AG44" i="1"/>
  <c r="AF43" i="1"/>
  <c r="AE43" i="1"/>
  <c r="AD43" i="1"/>
  <c r="AG43" i="1"/>
  <c r="AF42" i="1"/>
  <c r="AE42" i="1"/>
  <c r="AD42" i="1"/>
  <c r="AG42" i="1"/>
  <c r="AF41" i="1"/>
  <c r="AE41" i="1"/>
  <c r="AD41" i="1"/>
  <c r="AG41" i="1"/>
  <c r="AF40" i="1"/>
  <c r="AE40" i="1"/>
  <c r="AD40" i="1"/>
  <c r="AG40" i="1"/>
  <c r="AF39" i="1"/>
  <c r="AE39" i="1"/>
  <c r="AD39" i="1"/>
  <c r="AG39" i="1"/>
  <c r="BI1" i="1"/>
  <c r="E96" i="1"/>
  <c r="E90" i="1"/>
  <c r="E81" i="1"/>
  <c r="E78" i="1"/>
  <c r="J78" i="1"/>
  <c r="E75" i="1"/>
  <c r="E72" i="1"/>
  <c r="E66" i="1"/>
  <c r="E57" i="1"/>
</calcChain>
</file>

<file path=xl/sharedStrings.xml><?xml version="1.0" encoding="utf-8"?>
<sst xmlns="http://schemas.openxmlformats.org/spreadsheetml/2006/main" count="4713" uniqueCount="240">
  <si>
    <t>RODADA 1</t>
  </si>
  <si>
    <t>RODADA 2</t>
  </si>
  <si>
    <t>RODADA 3</t>
  </si>
  <si>
    <t>Grupo A</t>
  </si>
  <si>
    <t>P</t>
  </si>
  <si>
    <t>SG</t>
  </si>
  <si>
    <t>GP</t>
  </si>
  <si>
    <t>Grupo B</t>
  </si>
  <si>
    <t>Jogo 1</t>
  </si>
  <si>
    <t>Jogo 25</t>
  </si>
  <si>
    <t>Jogo 49</t>
  </si>
  <si>
    <t>México</t>
  </si>
  <si>
    <t>X</t>
  </si>
  <si>
    <t>África do Sul</t>
  </si>
  <si>
    <t>16:00</t>
  </si>
  <si>
    <t>Tchéquia</t>
  </si>
  <si>
    <t>13:00</t>
  </si>
  <si>
    <t>Suíça</t>
  </si>
  <si>
    <t>Canadá</t>
  </si>
  <si>
    <t>Jogo 2</t>
  </si>
  <si>
    <t>Jogo 26</t>
  </si>
  <si>
    <t>Jogo 50</t>
  </si>
  <si>
    <t>Coreia do Sul</t>
  </si>
  <si>
    <t>23:00</t>
  </si>
  <si>
    <t>Bósnia e H.</t>
  </si>
  <si>
    <t>Catar</t>
  </si>
  <si>
    <t>Jogo 3</t>
  </si>
  <si>
    <t>Jogo 27</t>
  </si>
  <si>
    <t>Jogo 51</t>
  </si>
  <si>
    <t>19:00</t>
  </si>
  <si>
    <t>Marrocos</t>
  </si>
  <si>
    <t>Haiti</t>
  </si>
  <si>
    <t>Grupo C</t>
  </si>
  <si>
    <t>Grupo D</t>
  </si>
  <si>
    <t>Jogo 4</t>
  </si>
  <si>
    <t>Jogo 28</t>
  </si>
  <si>
    <t>Jogo 52</t>
  </si>
  <si>
    <t>Estados Unidos</t>
  </si>
  <si>
    <t>Paraguai</t>
  </si>
  <si>
    <t>22:00</t>
  </si>
  <si>
    <t>Escócia</t>
  </si>
  <si>
    <t>Brasil</t>
  </si>
  <si>
    <t>Jogo 5</t>
  </si>
  <si>
    <t>Jogo 29</t>
  </si>
  <si>
    <t>Jogo 53</t>
  </si>
  <si>
    <t>Austrália</t>
  </si>
  <si>
    <t>Jogo 6</t>
  </si>
  <si>
    <t>Jogo 30</t>
  </si>
  <si>
    <t>Jogo 54</t>
  </si>
  <si>
    <t>Grupo E</t>
  </si>
  <si>
    <t>Grupo F</t>
  </si>
  <si>
    <t>Jogo 7</t>
  </si>
  <si>
    <t>Jogo 31</t>
  </si>
  <si>
    <t>Jogo 55</t>
  </si>
  <si>
    <t>21:30</t>
  </si>
  <si>
    <t>Curaçao</t>
  </si>
  <si>
    <t>Costa do Marfim</t>
  </si>
  <si>
    <t>17:00</t>
  </si>
  <si>
    <t>Jogo 8</t>
  </si>
  <si>
    <t>Jogo 32</t>
  </si>
  <si>
    <t>Jogo 56</t>
  </si>
  <si>
    <t>Turquia</t>
  </si>
  <si>
    <t>01:00</t>
  </si>
  <si>
    <t>00:00</t>
  </si>
  <si>
    <t>Equador</t>
  </si>
  <si>
    <t>Alemanha</t>
  </si>
  <si>
    <t>Jogo 9</t>
  </si>
  <si>
    <t>Jogo 33</t>
  </si>
  <si>
    <t>Jogo 57</t>
  </si>
  <si>
    <t>14:00</t>
  </si>
  <si>
    <t>Holanda</t>
  </si>
  <si>
    <t>Suécia</t>
  </si>
  <si>
    <t>Tunísia</t>
  </si>
  <si>
    <t>20:00</t>
  </si>
  <si>
    <t>Grupo G</t>
  </si>
  <si>
    <t>Grupo H</t>
  </si>
  <si>
    <t>Jogo 10</t>
  </si>
  <si>
    <t>Jogo 34</t>
  </si>
  <si>
    <t>Jogo 58</t>
  </si>
  <si>
    <t>Japão</t>
  </si>
  <si>
    <t>Jogo 11</t>
  </si>
  <si>
    <t>Jogo 35</t>
  </si>
  <si>
    <t>Jogo 59</t>
  </si>
  <si>
    <t>21:00</t>
  </si>
  <si>
    <t>Jogo 12</t>
  </si>
  <si>
    <t>Jogo 36</t>
  </si>
  <si>
    <t>Jogo 60</t>
  </si>
  <si>
    <t>Grupo I</t>
  </si>
  <si>
    <t>Grupo J</t>
  </si>
  <si>
    <t>Jogo 13</t>
  </si>
  <si>
    <t>Jogo 37</t>
  </si>
  <si>
    <t>Jogo 61</t>
  </si>
  <si>
    <t>Espanha</t>
  </si>
  <si>
    <t>Cabo Verde</t>
  </si>
  <si>
    <t>Arábia Saudita</t>
  </si>
  <si>
    <t>Noruega</t>
  </si>
  <si>
    <t>França</t>
  </si>
  <si>
    <t>Jogo 14</t>
  </si>
  <si>
    <t>Jogo 38</t>
  </si>
  <si>
    <t>Jogo 62</t>
  </si>
  <si>
    <t>Bélgica</t>
  </si>
  <si>
    <t>Egito</t>
  </si>
  <si>
    <t>Irã</t>
  </si>
  <si>
    <t>Senegal</t>
  </si>
  <si>
    <t>Iraque</t>
  </si>
  <si>
    <t>Jogo 15</t>
  </si>
  <si>
    <t>Jogo 39</t>
  </si>
  <si>
    <t>Jogo 63</t>
  </si>
  <si>
    <t>Uruguai</t>
  </si>
  <si>
    <t>Grupo K</t>
  </si>
  <si>
    <t>Grupo L</t>
  </si>
  <si>
    <t>Jogo 16</t>
  </si>
  <si>
    <t>Jogo 40</t>
  </si>
  <si>
    <t>Jogo 64</t>
  </si>
  <si>
    <t>Nova Zelândia</t>
  </si>
  <si>
    <t>Jogo 17</t>
  </si>
  <si>
    <t>Jogo 41</t>
  </si>
  <si>
    <t>Jogo 65</t>
  </si>
  <si>
    <t>Argentina</t>
  </si>
  <si>
    <t>Áustria</t>
  </si>
  <si>
    <t>Jogo 18</t>
  </si>
  <si>
    <t>Jogo 42</t>
  </si>
  <si>
    <t>Jogo 66</t>
  </si>
  <si>
    <t>18:00</t>
  </si>
  <si>
    <t>TERCEIROS</t>
  </si>
  <si>
    <t>Jogo 19</t>
  </si>
  <si>
    <t>Jogo 43</t>
  </si>
  <si>
    <t>Jogo 67</t>
  </si>
  <si>
    <t>Argélia</t>
  </si>
  <si>
    <t>Panamá</t>
  </si>
  <si>
    <t>Inglaterra</t>
  </si>
  <si>
    <t>Jogo 20</t>
  </si>
  <si>
    <t>Jogo 44</t>
  </si>
  <si>
    <t>Jogo 68</t>
  </si>
  <si>
    <t>Jordânia</t>
  </si>
  <si>
    <t>Croácia</t>
  </si>
  <si>
    <t>Gana</t>
  </si>
  <si>
    <t>Jogo 21</t>
  </si>
  <si>
    <t>Jogo 45</t>
  </si>
  <si>
    <t>Jogo 69</t>
  </si>
  <si>
    <t>Portugal</t>
  </si>
  <si>
    <t>RD Congo</t>
  </si>
  <si>
    <t>Uzbequistão</t>
  </si>
  <si>
    <t>Colômbia</t>
  </si>
  <si>
    <t>20:30</t>
  </si>
  <si>
    <t>Jogo 22</t>
  </si>
  <si>
    <t>Jogo 46</t>
  </si>
  <si>
    <t>Jogo 70</t>
  </si>
  <si>
    <t>Jogo 23</t>
  </si>
  <si>
    <t>Jogo 47</t>
  </si>
  <si>
    <t>Jogo 71</t>
  </si>
  <si>
    <t>Jogo 24</t>
  </si>
  <si>
    <t>Jogo 48</t>
  </si>
  <si>
    <t>Jogo 72</t>
  </si>
  <si>
    <t>16 AVOS DE FINAL</t>
  </si>
  <si>
    <t>Jogo 73</t>
  </si>
  <si>
    <t>pen.</t>
  </si>
  <si>
    <t>x</t>
  </si>
  <si>
    <t>Jogo 74</t>
  </si>
  <si>
    <t>17:30</t>
  </si>
  <si>
    <t>Jogo 75</t>
  </si>
  <si>
    <t>OITAVAS</t>
  </si>
  <si>
    <t>Jogo 76</t>
  </si>
  <si>
    <t>Jogo 89</t>
  </si>
  <si>
    <t>Jogo 77</t>
  </si>
  <si>
    <t>Jogo 90</t>
  </si>
  <si>
    <t>Jogo 78</t>
  </si>
  <si>
    <t>Jogo 91</t>
  </si>
  <si>
    <t>Jogo 79</t>
  </si>
  <si>
    <t>Jogo 92</t>
  </si>
  <si>
    <t>Jogo 80</t>
  </si>
  <si>
    <t>Jogo 93</t>
  </si>
  <si>
    <t>Jogo 81</t>
  </si>
  <si>
    <t>Jogo 94</t>
  </si>
  <si>
    <t>Jogo 82</t>
  </si>
  <si>
    <t>Jogo 95</t>
  </si>
  <si>
    <t>1º</t>
  </si>
  <si>
    <t>A</t>
  </si>
  <si>
    <t>2º</t>
  </si>
  <si>
    <t>E</t>
  </si>
  <si>
    <t>3º</t>
  </si>
  <si>
    <t>I</t>
  </si>
  <si>
    <t>Jogo 83</t>
  </si>
  <si>
    <t>Jogo 96</t>
  </si>
  <si>
    <t>SEMIFINAL</t>
  </si>
  <si>
    <t>4º</t>
  </si>
  <si>
    <t>B</t>
  </si>
  <si>
    <t>Jogo 101</t>
  </si>
  <si>
    <t>5º</t>
  </si>
  <si>
    <t>F</t>
  </si>
  <si>
    <t>6º</t>
  </si>
  <si>
    <t>J</t>
  </si>
  <si>
    <t>Jogo 84</t>
  </si>
  <si>
    <t>7º</t>
  </si>
  <si>
    <t>C</t>
  </si>
  <si>
    <t>Jogo 102</t>
  </si>
  <si>
    <t>8º</t>
  </si>
  <si>
    <t>G</t>
  </si>
  <si>
    <t>QUARTAS</t>
  </si>
  <si>
    <t>9º</t>
  </si>
  <si>
    <t>K</t>
  </si>
  <si>
    <t>Jogo 85</t>
  </si>
  <si>
    <t>Jogo 97</t>
  </si>
  <si>
    <t>10º</t>
  </si>
  <si>
    <t>D</t>
  </si>
  <si>
    <t>11º</t>
  </si>
  <si>
    <t>H</t>
  </si>
  <si>
    <t>12º</t>
  </si>
  <si>
    <t>L</t>
  </si>
  <si>
    <t>Jogo 86</t>
  </si>
  <si>
    <t>Jogo 98</t>
  </si>
  <si>
    <t>TERCEIRO LUGAR</t>
  </si>
  <si>
    <t>Jogo 87</t>
  </si>
  <si>
    <t>Jogo 99</t>
  </si>
  <si>
    <t>22:30</t>
  </si>
  <si>
    <t>Jogo 88</t>
  </si>
  <si>
    <t>Jogo 100</t>
  </si>
  <si>
    <t>FINAL</t>
  </si>
  <si>
    <t>CAMPEÃO</t>
  </si>
  <si>
    <t>15:00</t>
  </si>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</sst>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F0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D3E70"/>
        <bgColor indexed="64"/>
      </patternFill>
    </fill>
    <fill>
      <patternFill patternType="solid">
        <fgColor rgb="FFD624D6"/>
        <bgColor indexed="64"/>
      </patternFill>
    </fill>
    <fill>
      <patternFill patternType="solid">
        <fgColor rgb="FF0787B5"/>
        <bgColor indexed="64"/>
      </patternFill>
    </fill>
    <fill>
      <patternFill patternType="solid">
        <fgColor rgb="FFAD2121"/>
        <bgColor indexed="64"/>
      </patternFill>
    </fill>
    <fill>
      <patternFill patternType="solid">
        <fgColor rgb="FF873905"/>
        <bgColor indexed="64"/>
      </patternFill>
    </fill>
    <fill>
      <patternFill patternType="solid">
        <fgColor rgb="FF63626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AD0E4"/>
        <bgColor indexed="64"/>
      </patternFill>
    </fill>
    <fill>
      <patternFill patternType="solid">
        <fgColor rgb="FFF29696"/>
        <bgColor indexed="64"/>
      </patternFill>
    </fill>
    <fill>
      <patternFill patternType="solid">
        <fgColor rgb="FFB2EB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6CCB2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BB6"/>
        <bgColor indexed="64"/>
      </patternFill>
    </fill>
    <fill>
      <patternFill patternType="solid">
        <fgColor rgb="FFEAD0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 wrapText="1"/>
    </xf>
    <xf numFmtId="164" fontId="0" fillId="0" borderId="0" xfId="0" applyNumberForma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left"/>
    </xf>
    <xf numFmtId="164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 applyAlignment="1">
      <alignment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3" borderId="0" xfId="0" applyFill="1" applyAlignment="1">
      <alignment horizontal="center"/>
    </xf>
    <xf numFmtId="0" fontId="0" fillId="14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16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right"/>
    </xf>
    <xf numFmtId="0" fontId="0" fillId="18" borderId="0" xfId="0" applyFill="1" applyAlignment="1">
      <alignment horizontal="right"/>
    </xf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right"/>
    </xf>
    <xf numFmtId="0" fontId="0" fillId="25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7" borderId="0" xfId="0" applyFill="1" applyAlignment="1">
      <alignment horizontal="center"/>
    </xf>
    <xf numFmtId="0" fontId="0" fillId="23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right"/>
    </xf>
    <xf numFmtId="0" fontId="0" fillId="24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right"/>
    </xf>
    <xf numFmtId="0" fontId="0" fillId="22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10" borderId="0" xfId="0" applyFill="1" applyAlignment="1">
      <alignment horizontal="center"/>
    </xf>
    <xf numFmtId="0" fontId="0" fillId="21" borderId="0" xfId="0" applyFill="1" applyAlignment="1">
      <alignment horizontal="right"/>
    </xf>
    <xf numFmtId="0" fontId="0" fillId="11" borderId="0" xfId="0" applyFill="1" applyAlignment="1">
      <alignment horizontal="right"/>
    </xf>
    <xf numFmtId="0" fontId="0" fillId="11" borderId="0" xfId="0" applyFill="1" applyAlignment="1">
      <alignment horizontal="center"/>
    </xf>
    <xf numFmtId="0" fontId="0" fillId="19" borderId="0" xfId="0" applyFill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  <xf numFmtId="0" fontId="0" fillId="17" borderId="0" xfId="0" applyFill="1" applyAlignment="1">
      <alignment horizontal="right"/>
    </xf>
    <xf numFmtId="0" fontId="0" fillId="15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14" borderId="0" xfId="0" applyFill="1"/>
    <xf numFmtId="0" fontId="2" fillId="26" borderId="0" xfId="0" applyFont="1" applyFill="1"/>
    <xf numFmtId="164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0" fillId="30" borderId="0" xfId="0" applyFill="1" applyAlignment="1">
      <alignment horizontal="right"/>
    </xf>
    <xf numFmtId="0" fontId="1" fillId="30" borderId="0" xfId="0" applyFont="1" applyFill="1" applyAlignment="1">
      <alignment horizontal="right"/>
    </xf>
    <xf numFmtId="0" fontId="0" fillId="30" borderId="0" xfId="0" applyFill="1" applyAlignment="1"/>
    <xf numFmtId="0" fontId="0" fillId="30" borderId="0" xfId="0" applyFill="1"/>
    <xf numFmtId="0" fontId="0" fillId="30" borderId="0" xfId="0" applyFill="1" applyAlignment="1">
      <alignment wrapText="1"/>
    </xf>
    <xf numFmtId="0" fontId="0" fillId="0" borderId="0" xfId="0" applyFill="1" applyAlignment="1">
      <alignment horizontal="right"/>
    </xf>
    <xf numFmtId="0" fontId="0" fillId="31" borderId="0" xfId="0" applyFill="1" applyAlignment="1">
      <alignment horizontal="right"/>
    </xf>
    <xf numFmtId="0" fontId="0" fillId="31" borderId="0" xfId="0" applyFill="1" applyAlignment="1"/>
    <xf numFmtId="0" fontId="0" fillId="31" borderId="0" xfId="0" applyFill="1"/>
    <xf numFmtId="0" fontId="0" fillId="31" borderId="0" xfId="0" applyFill="1" applyAlignment="1">
      <alignment horizontal="left"/>
    </xf>
    <xf numFmtId="0" fontId="0" fillId="32" borderId="0" xfId="0" applyFill="1" applyAlignment="1">
      <alignment horizontal="right"/>
    </xf>
    <xf numFmtId="0" fontId="0" fillId="32" borderId="0" xfId="0" applyFill="1" applyAlignment="1">
      <alignment horizontal="center"/>
    </xf>
    <xf numFmtId="0" fontId="0" fillId="32" borderId="0" xfId="0" applyFill="1"/>
    <xf numFmtId="0" fontId="0" fillId="0" borderId="0" xfId="0" applyFill="1" applyAlignment="1"/>
    <xf numFmtId="0" fontId="0" fillId="0" borderId="0" xfId="0" applyFill="1" applyAlignment="1">
      <alignment horizontal="left"/>
    </xf>
    <xf numFmtId="0" fontId="0" fillId="0" borderId="0" xfId="0" applyFill="1"/>
    <xf numFmtId="0" fontId="0" fillId="33" borderId="0" xfId="0" applyFill="1" applyAlignment="1">
      <alignment horizontal="right"/>
    </xf>
    <xf numFmtId="0" fontId="0" fillId="33" borderId="0" xfId="0" applyFill="1"/>
    <xf numFmtId="0" fontId="0" fillId="33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26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31" borderId="0" xfId="0" applyFill="1" applyAlignment="1">
      <alignment horizontal="center"/>
    </xf>
    <xf numFmtId="0" fontId="0" fillId="28" borderId="0" xfId="0" applyFill="1" applyAlignment="1">
      <alignment horizontal="center"/>
    </xf>
    <xf numFmtId="0" fontId="2" fillId="27" borderId="0" xfId="0" applyFont="1" applyFill="1" applyAlignment="1">
      <alignment horizontal="center"/>
    </xf>
    <xf numFmtId="0" fontId="0" fillId="31" borderId="0" xfId="0" applyFill="1" applyAlignment="1">
      <alignment horizontal="center"/>
    </xf>
    <xf numFmtId="0" fontId="0" fillId="29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4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0" borderId="0" xfId="0" applyFill="1" applyAlignment="1">
      <alignment horizontal="center"/>
    </xf>
    <xf numFmtId="0" fontId="2" fillId="26" borderId="0" xfId="0" applyFont="1" applyFill="1" applyAlignment="1">
      <alignment horizontal="center"/>
    </xf>
    <xf numFmtId="0" fontId="0" fillId="21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AD0B8"/>
      <color rgb="FFF4E0D5"/>
      <color rgb="FFFCEBB6"/>
      <color rgb="FFD9E1F2"/>
      <color rgb="FFE7E6E6"/>
      <color rgb="FF333333"/>
      <color rgb="FFFCE4D6"/>
      <color rgb="FFD4AF37"/>
      <color rgb="FFCD7F32"/>
      <color rgb="FFFAD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22"/>
  <sheetViews>
    <sheetView tabSelected="1" workbookViewId="0">
      <selection activeCell="W104" sqref="W104"/>
    </sheetView>
  </sheetViews>
  <sheetFormatPr defaultRowHeight="15"/>
  <cols>
    <col min="1" max="1" width="19.42578125" style="2" bestFit="1" customWidth="1"/>
    <col min="2" max="2" width="2.28515625" style="2" bestFit="1" customWidth="1"/>
    <col min="3" max="3" width="2" style="1" bestFit="1" customWidth="1"/>
    <col min="4" max="4" width="3" style="4" bestFit="1" customWidth="1"/>
    <col min="5" max="5" width="19.42578125" bestFit="1" customWidth="1"/>
    <col min="6" max="6" width="5.7109375" style="4" bestFit="1" customWidth="1"/>
    <col min="7" max="7" width="2" style="4" hidden="1" customWidth="1"/>
    <col min="8" max="8" width="2" hidden="1" customWidth="1"/>
    <col min="9" max="9" width="9.7109375" customWidth="1"/>
    <col min="10" max="10" width="19.42578125" style="2" bestFit="1" customWidth="1"/>
    <col min="11" max="11" width="2.42578125" style="1" bestFit="1" customWidth="1"/>
    <col min="12" max="12" width="2" style="1" bestFit="1" customWidth="1"/>
    <col min="13" max="13" width="2.140625" bestFit="1" customWidth="1"/>
    <col min="14" max="14" width="19.42578125" bestFit="1" customWidth="1"/>
    <col min="15" max="15" width="5.7109375" style="4" bestFit="1" customWidth="1"/>
    <col min="16" max="17" width="2" hidden="1" customWidth="1"/>
    <col min="19" max="19" width="19.42578125" style="2" bestFit="1" customWidth="1"/>
    <col min="20" max="20" width="2" style="1" bestFit="1" customWidth="1"/>
    <col min="21" max="21" width="2" style="2" bestFit="1" customWidth="1"/>
    <col min="22" max="22" width="2.140625" style="4" bestFit="1" customWidth="1"/>
    <col min="23" max="23" width="19.42578125" bestFit="1" customWidth="1"/>
    <col min="24" max="24" width="6" style="4" bestFit="1" customWidth="1"/>
    <col min="25" max="26" width="2" hidden="1" customWidth="1"/>
    <col min="28" max="28" width="3" style="2" bestFit="1" customWidth="1"/>
    <col min="29" max="29" width="15.42578125" bestFit="1" customWidth="1"/>
    <col min="30" max="30" width="2" style="6" bestFit="1" customWidth="1"/>
    <col min="31" max="31" width="3.5703125" style="6" bestFit="1" customWidth="1"/>
    <col min="32" max="32" width="4" style="6" bestFit="1" customWidth="1"/>
    <col min="33" max="33" width="8.28515625" customWidth="1"/>
    <col min="34" max="34" width="2.85546875" style="2" bestFit="1" customWidth="1"/>
    <col min="35" max="35" width="15.42578125" bestFit="1" customWidth="1"/>
    <col min="36" max="36" width="2" style="6" bestFit="1" customWidth="1"/>
    <col min="37" max="37" width="3.5703125" style="6" bestFit="1" customWidth="1"/>
    <col min="38" max="38" width="3.28515625" style="6" bestFit="1" customWidth="1"/>
    <col min="39" max="39" width="7.85546875" style="6" bestFit="1" customWidth="1"/>
    <col min="40" max="40" width="9.140625" style="2"/>
    <col min="41" max="41" width="13.140625" bestFit="1" customWidth="1"/>
    <col min="42" max="42" width="2" style="6" bestFit="1" customWidth="1"/>
    <col min="43" max="43" width="3.5703125" style="6" bestFit="1" customWidth="1"/>
    <col min="44" max="44" width="3.28515625" style="6" bestFit="1" customWidth="1"/>
    <col min="45" max="45" width="7.85546875" style="6" bestFit="1" customWidth="1"/>
    <col min="46" max="46" width="9.140625" style="2"/>
    <col min="47" max="47" width="14.140625" bestFit="1" customWidth="1"/>
    <col min="48" max="48" width="2" style="6" bestFit="1" customWidth="1"/>
    <col min="49" max="49" width="3.5703125" style="6" bestFit="1" customWidth="1"/>
    <col min="50" max="50" width="3.28515625" style="6" bestFit="1" customWidth="1"/>
    <col min="51" max="51" width="8.5703125" bestFit="1" customWidth="1"/>
    <col min="55" max="55" width="19.42578125" bestFit="1" customWidth="1"/>
    <col min="56" max="56" width="2" bestFit="1" customWidth="1"/>
    <col min="57" max="57" width="3.140625" bestFit="1" customWidth="1"/>
    <col min="58" max="58" width="3.28515625" bestFit="1" customWidth="1"/>
    <col min="59" max="59" width="9.140625" style="2"/>
    <col min="61" max="61" width="13.85546875" bestFit="1" customWidth="1"/>
  </cols>
  <sheetData>
    <row r="1" spans="1:61">
      <c r="A1" s="134" t="s">
        <v>0</v>
      </c>
      <c r="B1" s="134"/>
      <c r="C1" s="134"/>
      <c r="D1" s="134"/>
      <c r="E1" s="134"/>
      <c r="J1" s="134" t="s">
        <v>1</v>
      </c>
      <c r="K1" s="134"/>
      <c r="L1" s="134"/>
      <c r="M1" s="134"/>
      <c r="N1" s="134"/>
      <c r="S1" s="134" t="s">
        <v>2</v>
      </c>
      <c r="T1" s="134"/>
      <c r="U1" s="134"/>
      <c r="V1" s="134"/>
      <c r="W1" s="134"/>
      <c r="AB1" s="42"/>
      <c r="AC1" s="17" t="s">
        <v>3</v>
      </c>
      <c r="AD1" s="40" t="s">
        <v>4</v>
      </c>
      <c r="AE1" s="40" t="s">
        <v>5</v>
      </c>
      <c r="AF1" s="40" t="s">
        <v>6</v>
      </c>
      <c r="AH1" s="74"/>
      <c r="AI1" s="16" t="s">
        <v>7</v>
      </c>
      <c r="AJ1" s="75" t="s">
        <v>4</v>
      </c>
      <c r="AK1" s="75" t="s">
        <v>5</v>
      </c>
      <c r="AL1" s="75" t="s">
        <v>6</v>
      </c>
      <c r="AM1" s="100"/>
      <c r="AP1" s="100"/>
      <c r="AQ1" s="100"/>
      <c r="AR1" s="100"/>
      <c r="AS1" s="100"/>
      <c r="AV1" s="100"/>
      <c r="AW1" s="100"/>
      <c r="AX1" s="100"/>
      <c r="BI1" s="11" t="str">
        <f>COUNTIF($AG$38:$AG$45,"A") &amp; COUNTIF($AG$38:$AG$45,"B") &amp; COUNTIF($AG$38:$AG$45,"C") &amp; COUNTIF($AG$38:$AG$45,"D") &amp; COUNTIF($AG$38:$AG$45,"E") &amp; COUNTIF($AG$38:$AG$45,"F") &amp; COUNTIF($AG$38:$AG$45,"G") &amp; COUNTIF($AG$38:$AG$45,"H") &amp; COUNTIF($AG$38:$AG$45,"I") &amp; COUNTIF($AG$38:$AG$45,"J") &amp; COUNTIF($AG$38:$AG$45,"K") &amp; COUNTIF($AG$38:$AG$45,"L")</f>
        <v>011111011001</v>
      </c>
    </row>
    <row r="2" spans="1:61">
      <c r="A2" s="122" t="s">
        <v>8</v>
      </c>
      <c r="B2" s="122"/>
      <c r="C2" s="122"/>
      <c r="D2" s="122"/>
      <c r="E2" s="122"/>
      <c r="F2" s="10">
        <v>46184</v>
      </c>
      <c r="G2" s="3"/>
      <c r="J2" s="122" t="s">
        <v>9</v>
      </c>
      <c r="K2" s="122"/>
      <c r="L2" s="122"/>
      <c r="M2" s="122"/>
      <c r="N2" s="122"/>
      <c r="O2" s="78">
        <v>46191</v>
      </c>
      <c r="P2" s="3"/>
      <c r="S2" s="123" t="s">
        <v>10</v>
      </c>
      <c r="T2" s="123"/>
      <c r="U2" s="123"/>
      <c r="V2" s="123"/>
      <c r="W2" s="123"/>
      <c r="X2" s="10">
        <v>46197</v>
      </c>
      <c r="AB2" s="41">
        <v>1</v>
      </c>
      <c r="AC2" s="28" t="str">
        <f>INDEX($AC$80:$AC$83, MATCH(LARGE($AG$80:$AG$83, AB2), $AG$80:$AG$83, 0))</f>
        <v>México</v>
      </c>
      <c r="AD2" s="105">
        <f>VLOOKUP(AC2, $AC$80:$AF$83, 2, 0)</f>
        <v>9</v>
      </c>
      <c r="AE2" s="105">
        <f>VLOOKUP(AC2, $AC$80:$AF$83, 3, 0)</f>
        <v>8</v>
      </c>
      <c r="AF2" s="105">
        <f>VLOOKUP(AC2, $AC$80:$AF$83, 4, 0)</f>
        <v>9</v>
      </c>
      <c r="AH2" s="73">
        <v>1</v>
      </c>
      <c r="AI2" s="29" t="str">
        <f>INDEX($AI$80:$AI$83, MATCH(LARGE($AM$80:$AM$83, AH2), $AM$80:$AM$83, 0))</f>
        <v>Suíça</v>
      </c>
      <c r="AJ2" s="108">
        <f>VLOOKUP(AI2, $AI$80:$AL$83, 2, 0)</f>
        <v>7</v>
      </c>
      <c r="AK2" s="108">
        <f>VLOOKUP(AI2, $AI$80:$AL$83, 3, 0)</f>
        <v>5</v>
      </c>
      <c r="AL2" s="108">
        <f>VLOOKUP(AI2, $AI$80:$AL$83, 4, 0)</f>
        <v>7</v>
      </c>
      <c r="AM2" s="100"/>
      <c r="AP2" s="100"/>
      <c r="AQ2" s="100"/>
      <c r="AR2" s="100"/>
      <c r="AS2" s="100"/>
      <c r="AV2" s="100"/>
      <c r="AW2" s="100"/>
      <c r="AX2" s="100"/>
    </row>
    <row r="3" spans="1:61">
      <c r="A3" s="41" t="s">
        <v>11</v>
      </c>
      <c r="B3" s="100">
        <v>2</v>
      </c>
      <c r="C3" s="105" t="s">
        <v>12</v>
      </c>
      <c r="D3" s="100">
        <v>1</v>
      </c>
      <c r="E3" s="76" t="s">
        <v>13</v>
      </c>
      <c r="F3" s="9" t="s">
        <v>14</v>
      </c>
      <c r="G3" s="5">
        <f>IF(B3="", 0, IF(B3&gt;D3, 3, IF(B3=D3, 1, 0)))</f>
        <v>3</v>
      </c>
      <c r="H3">
        <f>IF(D3="", 0, IF(D3&gt;B3, 3, IF(D3=B3, 1, 0)))</f>
        <v>0</v>
      </c>
      <c r="J3" s="41" t="s">
        <v>15</v>
      </c>
      <c r="K3" s="100">
        <v>1</v>
      </c>
      <c r="L3" s="105" t="s">
        <v>12</v>
      </c>
      <c r="M3" s="100">
        <v>2</v>
      </c>
      <c r="N3" s="76" t="s">
        <v>13</v>
      </c>
      <c r="O3" s="79" t="s">
        <v>16</v>
      </c>
      <c r="P3" s="4">
        <f>IF(K3="", 0, IF(K3&gt;M3, 3, IF(K3=M3, 1, 0)))</f>
        <v>0</v>
      </c>
      <c r="Q3">
        <f>IF(M3="", 0, IF(M3&gt;K3, 3, IF(M3=K3, 1, 0)))</f>
        <v>3</v>
      </c>
      <c r="S3" s="73" t="s">
        <v>17</v>
      </c>
      <c r="T3" s="100">
        <v>2</v>
      </c>
      <c r="U3" s="108" t="s">
        <v>12</v>
      </c>
      <c r="V3" s="100">
        <v>2</v>
      </c>
      <c r="W3" s="29" t="s">
        <v>18</v>
      </c>
      <c r="X3" s="8" t="s">
        <v>14</v>
      </c>
      <c r="Y3">
        <f>IF(T3="", 0, IF(T3&gt;V3, 3, IF(T3=V3, 1, 0)))</f>
        <v>1</v>
      </c>
      <c r="Z3">
        <f>IF(V3="", 0, IF(V3&gt;T3, 3, IF(V3=T3, 1, 0)))</f>
        <v>1</v>
      </c>
      <c r="AB3" s="41">
        <v>2</v>
      </c>
      <c r="AC3" s="28" t="str">
        <f t="shared" ref="AC3:AC5" si="0">INDEX($AC$80:$AC$83, MATCH(LARGE($AG$80:$AG$83, AB3), $AG$80:$AG$83, 0))</f>
        <v>África do Sul</v>
      </c>
      <c r="AD3" s="105">
        <f t="shared" ref="AD3:AD5" si="1">VLOOKUP(AC3, $AC$80:$AF$83, 2, 0)</f>
        <v>4</v>
      </c>
      <c r="AE3" s="105">
        <f t="shared" ref="AE3:AE5" si="2">VLOOKUP(AC3, $AC$80:$AF$83, 3, 0)</f>
        <v>0</v>
      </c>
      <c r="AF3" s="105">
        <f t="shared" ref="AF3:AF5" si="3">VLOOKUP(AC3, $AC$80:$AF$83, 4, 0)</f>
        <v>4</v>
      </c>
      <c r="AH3" s="73">
        <v>2</v>
      </c>
      <c r="AI3" s="29" t="str">
        <f>INDEX($AI$80:$AI$83, MATCH(LARGE($AM$80:$AM$83, AH3), $AM$80:$AM$83, 0))</f>
        <v>Catar</v>
      </c>
      <c r="AJ3" s="108">
        <f t="shared" ref="AJ3:AJ5" si="4">VLOOKUP(AI3, $AI$80:$AL$83, 2, 0)</f>
        <v>4</v>
      </c>
      <c r="AK3" s="108">
        <f t="shared" ref="AK3:AK5" si="5">VLOOKUP(AI3, $AI$80:$AL$83, 3, 0)</f>
        <v>-1</v>
      </c>
      <c r="AL3" s="108">
        <f t="shared" ref="AL3:AL5" si="6">VLOOKUP(AI3, $AI$80:$AL$83, 4, 0)</f>
        <v>5</v>
      </c>
      <c r="AM3" s="100"/>
      <c r="AP3" s="100"/>
      <c r="AQ3" s="100"/>
      <c r="AR3" s="100"/>
      <c r="AS3" s="100"/>
      <c r="AV3" s="100"/>
      <c r="AW3" s="100"/>
      <c r="AX3" s="100"/>
    </row>
    <row r="4" spans="1:61">
      <c r="A4" s="122" t="s">
        <v>19</v>
      </c>
      <c r="B4" s="122"/>
      <c r="C4" s="122"/>
      <c r="D4" s="122"/>
      <c r="E4" s="122"/>
      <c r="F4" s="10">
        <v>46184</v>
      </c>
      <c r="G4" s="3"/>
      <c r="J4" s="123" t="s">
        <v>20</v>
      </c>
      <c r="K4" s="123"/>
      <c r="L4" s="123"/>
      <c r="M4" s="123"/>
      <c r="N4" s="123"/>
      <c r="O4" s="10">
        <v>46191</v>
      </c>
      <c r="P4" s="3"/>
      <c r="S4" s="123" t="s">
        <v>21</v>
      </c>
      <c r="T4" s="123"/>
      <c r="U4" s="123"/>
      <c r="V4" s="123"/>
      <c r="W4" s="123"/>
      <c r="X4" s="10">
        <v>46197</v>
      </c>
      <c r="AB4" s="41">
        <v>3</v>
      </c>
      <c r="AC4" s="28" t="str">
        <f>INDEX($AC$80:$AC$83, MATCH(LARGE($AG$80:$AG$83, AB4), $AG$80:$AG$83, 0))</f>
        <v>Coreia do Sul</v>
      </c>
      <c r="AD4" s="105">
        <f t="shared" si="1"/>
        <v>2</v>
      </c>
      <c r="AE4" s="105">
        <f t="shared" si="2"/>
        <v>-4</v>
      </c>
      <c r="AF4" s="105">
        <f t="shared" si="3"/>
        <v>1</v>
      </c>
      <c r="AH4" s="73">
        <v>3</v>
      </c>
      <c r="AI4" s="29" t="str">
        <f t="shared" ref="AI3:AI5" si="7">INDEX($AI$80:$AI$83, MATCH(LARGE($AM$80:$AM$83, AH4), $AM$80:$AM$83, 0))</f>
        <v>Canadá</v>
      </c>
      <c r="AJ4" s="108">
        <f t="shared" si="4"/>
        <v>4</v>
      </c>
      <c r="AK4" s="108">
        <f t="shared" si="5"/>
        <v>-1</v>
      </c>
      <c r="AL4" s="108">
        <f t="shared" si="6"/>
        <v>3</v>
      </c>
      <c r="AM4" s="100"/>
      <c r="AP4" s="100"/>
      <c r="AQ4" s="100"/>
      <c r="AR4" s="100"/>
      <c r="AS4" s="100"/>
      <c r="AV4" s="100"/>
      <c r="AW4" s="100"/>
      <c r="AX4" s="100"/>
    </row>
    <row r="5" spans="1:61">
      <c r="A5" s="41" t="s">
        <v>22</v>
      </c>
      <c r="B5" s="100">
        <v>0</v>
      </c>
      <c r="C5" s="105" t="s">
        <v>12</v>
      </c>
      <c r="D5" s="100">
        <v>0</v>
      </c>
      <c r="E5" s="76" t="s">
        <v>15</v>
      </c>
      <c r="F5" s="8" t="s">
        <v>23</v>
      </c>
      <c r="G5" s="5">
        <f t="shared" ref="G5:G49" si="8">IF(B5="", 0, IF(B5&gt;D5, 3, IF(B5=D5, 1, 0)))</f>
        <v>1</v>
      </c>
      <c r="H5">
        <f t="shared" ref="H5:H49" si="9">IF(D5="", 0, IF(D5&gt;B5, 3, IF(D5=B5, 1, 0)))</f>
        <v>1</v>
      </c>
      <c r="J5" s="73" t="s">
        <v>17</v>
      </c>
      <c r="K5" s="100">
        <v>2</v>
      </c>
      <c r="L5" s="108" t="s">
        <v>12</v>
      </c>
      <c r="M5" s="100">
        <v>0</v>
      </c>
      <c r="N5" s="29" t="s">
        <v>24</v>
      </c>
      <c r="O5" s="8" t="s">
        <v>14</v>
      </c>
      <c r="P5" s="4">
        <f t="shared" ref="P5:P49" si="10">IF(K5="", 0, IF(K5&gt;M5, 3, IF(K5=M5, 1, 0)))</f>
        <v>3</v>
      </c>
      <c r="Q5">
        <f t="shared" ref="Q5:Q49" si="11">IF(M5="", 0, IF(M5&gt;K5, 3, IF(M5=K5, 1, 0)))</f>
        <v>0</v>
      </c>
      <c r="S5" s="73" t="s">
        <v>24</v>
      </c>
      <c r="T5" s="100">
        <v>3</v>
      </c>
      <c r="U5" s="108" t="s">
        <v>12</v>
      </c>
      <c r="V5" s="100">
        <v>3</v>
      </c>
      <c r="W5" s="29" t="s">
        <v>25</v>
      </c>
      <c r="X5" s="8" t="s">
        <v>14</v>
      </c>
      <c r="Y5">
        <f t="shared" ref="Y5:Y49" si="12">IF(T5="", 0, IF(T5&gt;V5, 3, IF(T5=V5, 1, 0)))</f>
        <v>1</v>
      </c>
      <c r="Z5">
        <f t="shared" ref="Z5:Z49" si="13">IF(V5="", 0, IF(V5&gt;T5, 3, IF(V5=T5, 1, 0)))</f>
        <v>1</v>
      </c>
      <c r="AB5" s="41">
        <v>4</v>
      </c>
      <c r="AC5" s="28" t="str">
        <f t="shared" si="0"/>
        <v>Tchéquia</v>
      </c>
      <c r="AD5" s="105">
        <f t="shared" si="1"/>
        <v>1</v>
      </c>
      <c r="AE5" s="105">
        <f t="shared" si="2"/>
        <v>-4</v>
      </c>
      <c r="AF5" s="105">
        <f t="shared" si="3"/>
        <v>1</v>
      </c>
      <c r="AH5" s="73">
        <v>4</v>
      </c>
      <c r="AI5" s="29" t="str">
        <f t="shared" si="7"/>
        <v>Bósnia e H.</v>
      </c>
      <c r="AJ5" s="108">
        <f t="shared" si="4"/>
        <v>1</v>
      </c>
      <c r="AK5" s="108">
        <f t="shared" si="5"/>
        <v>-3</v>
      </c>
      <c r="AL5" s="108">
        <f t="shared" si="6"/>
        <v>3</v>
      </c>
      <c r="AM5" s="100"/>
      <c r="AP5" s="100"/>
      <c r="AQ5" s="100"/>
      <c r="AR5" s="100"/>
      <c r="AS5" s="100"/>
      <c r="AV5" s="100"/>
      <c r="AW5" s="100"/>
      <c r="AX5" s="100"/>
    </row>
    <row r="6" spans="1:61">
      <c r="A6" s="123" t="s">
        <v>26</v>
      </c>
      <c r="B6" s="123"/>
      <c r="C6" s="123"/>
      <c r="D6" s="123"/>
      <c r="E6" s="123"/>
      <c r="F6" s="10">
        <v>46185</v>
      </c>
      <c r="G6" s="3"/>
      <c r="J6" s="123" t="s">
        <v>27</v>
      </c>
      <c r="K6" s="123"/>
      <c r="L6" s="123"/>
      <c r="M6" s="123"/>
      <c r="N6" s="123"/>
      <c r="O6" s="10">
        <v>46191</v>
      </c>
      <c r="P6" s="3"/>
      <c r="S6" s="125" t="s">
        <v>28</v>
      </c>
      <c r="T6" s="125"/>
      <c r="U6" s="125"/>
      <c r="V6" s="125"/>
      <c r="W6" s="125"/>
      <c r="X6" s="10">
        <v>46197</v>
      </c>
      <c r="AD6" s="100"/>
      <c r="AE6" s="100"/>
      <c r="AF6" s="100"/>
      <c r="AJ6" s="100"/>
      <c r="AK6" s="100"/>
      <c r="AL6" s="100"/>
      <c r="AM6" s="100"/>
      <c r="AP6" s="100"/>
      <c r="AQ6" s="100"/>
      <c r="AR6" s="100"/>
      <c r="AS6" s="100"/>
      <c r="AV6" s="100"/>
      <c r="AW6" s="100"/>
      <c r="AX6" s="100"/>
    </row>
    <row r="7" spans="1:61">
      <c r="A7" s="73" t="s">
        <v>18</v>
      </c>
      <c r="B7" s="100">
        <v>1</v>
      </c>
      <c r="C7" s="108" t="s">
        <v>12</v>
      </c>
      <c r="D7" s="100">
        <v>0</v>
      </c>
      <c r="E7" s="29" t="s">
        <v>24</v>
      </c>
      <c r="F7" s="8" t="s">
        <v>14</v>
      </c>
      <c r="G7" s="5">
        <f t="shared" ref="G7:G49" si="14">IF(B7="", 0, IF(B7&gt;D7, 3, IF(B7=D7, 1, 0)))</f>
        <v>3</v>
      </c>
      <c r="H7">
        <f t="shared" ref="H7:H49" si="15">IF(D7="", 0, IF(D7&gt;B7, 3, IF(D7=B7, 1, 0)))</f>
        <v>0</v>
      </c>
      <c r="J7" s="73" t="s">
        <v>18</v>
      </c>
      <c r="K7" s="100">
        <v>0</v>
      </c>
      <c r="L7" s="108" t="s">
        <v>12</v>
      </c>
      <c r="M7" s="100">
        <v>2</v>
      </c>
      <c r="N7" s="29" t="s">
        <v>25</v>
      </c>
      <c r="O7" s="8" t="s">
        <v>29</v>
      </c>
      <c r="P7" s="4">
        <f t="shared" ref="P7:P49" si="16">IF(K7="", 0, IF(K7&gt;M7, 3, IF(K7=M7, 1, 0)))</f>
        <v>0</v>
      </c>
      <c r="Q7">
        <f t="shared" ref="Q7:Q49" si="17">IF(M7="", 0, IF(M7&gt;K7, 3, IF(M7=K7, 1, 0)))</f>
        <v>3</v>
      </c>
      <c r="S7" s="43" t="s">
        <v>30</v>
      </c>
      <c r="T7" s="100">
        <v>2</v>
      </c>
      <c r="U7" s="109" t="s">
        <v>12</v>
      </c>
      <c r="V7" s="100">
        <v>1</v>
      </c>
      <c r="W7" s="30" t="s">
        <v>31</v>
      </c>
      <c r="X7" s="8" t="s">
        <v>29</v>
      </c>
      <c r="Y7">
        <f t="shared" ref="Y7:Y49" si="18">IF(T7="", 0, IF(T7&gt;V7, 3, IF(T7=V7, 1, 0)))</f>
        <v>3</v>
      </c>
      <c r="Z7">
        <f t="shared" ref="Z7:Z49" si="19">IF(V7="", 0, IF(V7&gt;T7, 3, IF(V7=T7, 1, 0)))</f>
        <v>0</v>
      </c>
      <c r="AB7" s="45"/>
      <c r="AC7" s="20" t="s">
        <v>32</v>
      </c>
      <c r="AD7" s="44" t="s">
        <v>4</v>
      </c>
      <c r="AE7" s="44" t="s">
        <v>5</v>
      </c>
      <c r="AF7" s="44" t="s">
        <v>6</v>
      </c>
      <c r="AG7" s="100"/>
      <c r="AH7" s="71"/>
      <c r="AI7" s="18" t="s">
        <v>33</v>
      </c>
      <c r="AJ7" s="70" t="s">
        <v>4</v>
      </c>
      <c r="AK7" s="70" t="s">
        <v>5</v>
      </c>
      <c r="AL7" s="70" t="s">
        <v>6</v>
      </c>
      <c r="AM7" s="100"/>
      <c r="AP7" s="100"/>
      <c r="AQ7" s="100"/>
      <c r="AR7" s="100"/>
      <c r="AS7" s="100"/>
      <c r="AV7" s="100"/>
      <c r="AW7" s="100"/>
      <c r="AX7" s="100"/>
    </row>
    <row r="8" spans="1:61">
      <c r="A8" s="124" t="s">
        <v>34</v>
      </c>
      <c r="B8" s="124"/>
      <c r="C8" s="124"/>
      <c r="D8" s="124"/>
      <c r="E8" s="124"/>
      <c r="F8" s="10">
        <v>46185</v>
      </c>
      <c r="G8" s="3"/>
      <c r="J8" s="122" t="s">
        <v>35</v>
      </c>
      <c r="K8" s="122"/>
      <c r="L8" s="122"/>
      <c r="M8" s="122"/>
      <c r="N8" s="122"/>
      <c r="O8" s="78">
        <v>46191</v>
      </c>
      <c r="P8" s="3"/>
      <c r="S8" s="125" t="s">
        <v>36</v>
      </c>
      <c r="T8" s="125"/>
      <c r="U8" s="125"/>
      <c r="V8" s="125"/>
      <c r="W8" s="125"/>
      <c r="X8" s="10">
        <v>46197</v>
      </c>
      <c r="AB8" s="43">
        <v>1</v>
      </c>
      <c r="AC8" s="30" t="str">
        <f>INDEX($AO$80:$AO$83, MATCH(LARGE($AS$80:$AS$83, AB8), $AS$80:$AS$83, 0))</f>
        <v>Brasil</v>
      </c>
      <c r="AD8" s="109">
        <f>VLOOKUP(AC8, $AO$80:$AR$83, 2, 0)</f>
        <v>9</v>
      </c>
      <c r="AE8" s="109">
        <f>VLOOKUP(AC8, $AO$80:$AR$83, 3, 0)</f>
        <v>8</v>
      </c>
      <c r="AF8" s="109">
        <f>VLOOKUP(AC8, $AO$80:$AR$83, 4, 0)</f>
        <v>10</v>
      </c>
      <c r="AG8" s="100"/>
      <c r="AH8" s="72">
        <v>1</v>
      </c>
      <c r="AI8" s="31" t="str">
        <f>INDEX($AU$80:$AU$83, MATCH(LARGE($AY$80:$AY$83, AH8), $AY$80:$AY$83, 0))</f>
        <v>Paraguai</v>
      </c>
      <c r="AJ8" s="110">
        <f>VLOOKUP(AI8, $AU$80:$AX$83, 2, 0)</f>
        <v>7</v>
      </c>
      <c r="AK8" s="110">
        <f>VLOOKUP(AI8, $AU$80:$AX$83, 3, 0)</f>
        <v>5</v>
      </c>
      <c r="AL8" s="110">
        <f>VLOOKUP(AI8, $AU$80:$AX$83, 4, 0)</f>
        <v>8</v>
      </c>
      <c r="AM8" s="100"/>
      <c r="AP8" s="100"/>
      <c r="AQ8" s="100"/>
      <c r="AR8" s="100"/>
      <c r="AS8" s="100"/>
      <c r="AV8" s="100"/>
      <c r="AW8" s="100"/>
      <c r="AX8" s="100"/>
    </row>
    <row r="9" spans="1:61">
      <c r="A9" s="72" t="s">
        <v>37</v>
      </c>
      <c r="B9" s="100">
        <v>1</v>
      </c>
      <c r="C9" s="110" t="s">
        <v>12</v>
      </c>
      <c r="D9" s="100">
        <v>1</v>
      </c>
      <c r="E9" s="31" t="s">
        <v>38</v>
      </c>
      <c r="F9" s="8" t="s">
        <v>39</v>
      </c>
      <c r="G9" s="5">
        <f t="shared" ref="G9:G49" si="20">IF(B9="", 0, IF(B9&gt;D9, 3, IF(B9=D9, 1, 0)))</f>
        <v>1</v>
      </c>
      <c r="H9">
        <f t="shared" ref="H9:H49" si="21">IF(D9="", 0, IF(D9&gt;B9, 3, IF(D9=B9, 1, 0)))</f>
        <v>1</v>
      </c>
      <c r="J9" s="41" t="s">
        <v>11</v>
      </c>
      <c r="K9" s="100">
        <v>4</v>
      </c>
      <c r="L9" s="105" t="s">
        <v>12</v>
      </c>
      <c r="M9" s="100">
        <v>0</v>
      </c>
      <c r="N9" s="76" t="s">
        <v>22</v>
      </c>
      <c r="O9" s="79" t="s">
        <v>39</v>
      </c>
      <c r="P9" s="4">
        <f t="shared" ref="P9:P49" si="22">IF(K9="", 0, IF(K9&gt;M9, 3, IF(K9=M9, 1, 0)))</f>
        <v>3</v>
      </c>
      <c r="Q9">
        <f t="shared" ref="Q9:Q49" si="23">IF(M9="", 0, IF(M9&gt;K9, 3, IF(M9=K9, 1, 0)))</f>
        <v>0</v>
      </c>
      <c r="S9" s="43" t="s">
        <v>40</v>
      </c>
      <c r="T9" s="100">
        <v>2</v>
      </c>
      <c r="U9" s="109" t="s">
        <v>12</v>
      </c>
      <c r="V9" s="100">
        <v>3</v>
      </c>
      <c r="W9" s="30" t="s">
        <v>41</v>
      </c>
      <c r="X9" s="8" t="s">
        <v>29</v>
      </c>
      <c r="Y9">
        <f t="shared" ref="Y9:Y49" si="24">IF(T9="", 0, IF(T9&gt;V9, 3, IF(T9=V9, 1, 0)))</f>
        <v>0</v>
      </c>
      <c r="Z9">
        <f t="shared" ref="Z9:Z49" si="25">IF(V9="", 0, IF(V9&gt;T9, 3, IF(V9=T9, 1, 0)))</f>
        <v>3</v>
      </c>
      <c r="AB9" s="43">
        <v>2</v>
      </c>
      <c r="AC9" s="30" t="str">
        <f>INDEX($AO$80:$AO$83, MATCH(LARGE($AS$80:$AS$83, AB9), $AS$80:$AS$83, 0))</f>
        <v>Marrocos</v>
      </c>
      <c r="AD9" s="109">
        <f t="shared" ref="AD9:AD11" si="26">VLOOKUP(AC9, $AO$80:$AR$83, 2, 0)</f>
        <v>6</v>
      </c>
      <c r="AE9" s="109">
        <f t="shared" ref="AE9:AE11" si="27">VLOOKUP(AC9, $AO$80:$AR$83, 3, 0)</f>
        <v>0</v>
      </c>
      <c r="AF9" s="109">
        <f t="shared" ref="AF9:AF11" si="28">VLOOKUP(AC9, $AO$80:$AR$83, 4, 0)</f>
        <v>4</v>
      </c>
      <c r="AG9" s="100"/>
      <c r="AH9" s="72">
        <v>2</v>
      </c>
      <c r="AI9" s="31" t="str">
        <f t="shared" ref="AI9:AI11" si="29">INDEX($AU$80:$AU$83, MATCH(LARGE($AY$80:$AY$83, AH9), $AY$80:$AY$83, 0))</f>
        <v>Estados Unidos</v>
      </c>
      <c r="AJ9" s="110">
        <f t="shared" ref="AJ9:AJ11" si="30">VLOOKUP(AI9, $AU$80:$AX$83, 2, 0)</f>
        <v>5</v>
      </c>
      <c r="AK9" s="110">
        <f t="shared" ref="AK9:AK11" si="31">VLOOKUP(AI9, $AU$80:$AX$83, 3, 0)</f>
        <v>1</v>
      </c>
      <c r="AL9" s="110">
        <f t="shared" ref="AL9:AL11" si="32">VLOOKUP(AI9, $AU$80:$AX$83, 4, 0)</f>
        <v>5</v>
      </c>
      <c r="AM9" s="100"/>
      <c r="AP9" s="100"/>
      <c r="AQ9" s="100"/>
      <c r="AR9" s="100"/>
      <c r="AS9" s="100"/>
      <c r="AV9" s="100"/>
      <c r="AW9" s="100"/>
      <c r="AX9" s="100"/>
    </row>
    <row r="10" spans="1:61">
      <c r="A10" s="123" t="s">
        <v>42</v>
      </c>
      <c r="B10" s="123"/>
      <c r="C10" s="123"/>
      <c r="D10" s="123"/>
      <c r="E10" s="123"/>
      <c r="F10" s="10">
        <v>46186</v>
      </c>
      <c r="G10" s="3"/>
      <c r="J10" s="124" t="s">
        <v>43</v>
      </c>
      <c r="K10" s="124"/>
      <c r="L10" s="124"/>
      <c r="M10" s="124"/>
      <c r="N10" s="124"/>
      <c r="O10" s="10">
        <v>46192</v>
      </c>
      <c r="P10" s="3"/>
      <c r="S10" s="122" t="s">
        <v>44</v>
      </c>
      <c r="T10" s="122"/>
      <c r="U10" s="122"/>
      <c r="V10" s="122"/>
      <c r="W10" s="122"/>
      <c r="X10" s="10">
        <v>46197</v>
      </c>
      <c r="AB10" s="43">
        <v>3</v>
      </c>
      <c r="AC10" s="30" t="str">
        <f t="shared" ref="AC9:AC11" si="33">INDEX($AO$80:$AO$83, MATCH(LARGE($AS$80:$AS$83, AB10), $AS$80:$AS$83, 0))</f>
        <v>Escócia</v>
      </c>
      <c r="AD10" s="109">
        <f t="shared" si="26"/>
        <v>3</v>
      </c>
      <c r="AE10" s="109">
        <f t="shared" si="27"/>
        <v>0</v>
      </c>
      <c r="AF10" s="109">
        <f t="shared" si="28"/>
        <v>5</v>
      </c>
      <c r="AG10" s="100"/>
      <c r="AH10" s="72">
        <v>3</v>
      </c>
      <c r="AI10" s="31" t="str">
        <f t="shared" si="29"/>
        <v>Austrália</v>
      </c>
      <c r="AJ10" s="110">
        <f t="shared" si="30"/>
        <v>2</v>
      </c>
      <c r="AK10" s="110">
        <f t="shared" si="31"/>
        <v>-3</v>
      </c>
      <c r="AL10" s="110">
        <f t="shared" si="32"/>
        <v>5</v>
      </c>
      <c r="AM10" s="100"/>
      <c r="AP10" s="100"/>
      <c r="AQ10" s="100"/>
      <c r="AR10" s="100"/>
      <c r="AS10" s="100"/>
      <c r="AV10" s="100"/>
      <c r="AW10" s="100"/>
      <c r="AX10" s="100"/>
    </row>
    <row r="11" spans="1:61">
      <c r="A11" s="73" t="s">
        <v>25</v>
      </c>
      <c r="B11" s="100">
        <v>0</v>
      </c>
      <c r="C11" s="108" t="s">
        <v>12</v>
      </c>
      <c r="D11" s="100">
        <v>3</v>
      </c>
      <c r="E11" s="29" t="s">
        <v>17</v>
      </c>
      <c r="F11" s="8" t="s">
        <v>14</v>
      </c>
      <c r="G11" s="5">
        <f t="shared" ref="G11:G49" si="34">IF(B11="", 0, IF(B11&gt;D11, 3, IF(B11=D11, 1, 0)))</f>
        <v>0</v>
      </c>
      <c r="H11">
        <f t="shared" ref="H11:H49" si="35">IF(D11="", 0, IF(D11&gt;B11, 3, IF(D11=B11, 1, 0)))</f>
        <v>3</v>
      </c>
      <c r="J11" s="72" t="s">
        <v>37</v>
      </c>
      <c r="K11" s="100">
        <v>2</v>
      </c>
      <c r="L11" s="110" t="s">
        <v>12</v>
      </c>
      <c r="M11" s="100">
        <v>2</v>
      </c>
      <c r="N11" s="31" t="s">
        <v>45</v>
      </c>
      <c r="O11" s="8" t="s">
        <v>14</v>
      </c>
      <c r="P11" s="4">
        <f t="shared" ref="P11:P49" si="36">IF(K11="", 0, IF(K11&gt;M11, 3, IF(K11=M11, 1, 0)))</f>
        <v>1</v>
      </c>
      <c r="Q11">
        <f t="shared" ref="Q11:Q49" si="37">IF(M11="", 0, IF(M11&gt;K11, 3, IF(M11=K11, 1, 0)))</f>
        <v>1</v>
      </c>
      <c r="S11" s="41" t="s">
        <v>13</v>
      </c>
      <c r="T11" s="100">
        <v>1</v>
      </c>
      <c r="U11" s="105" t="s">
        <v>12</v>
      </c>
      <c r="V11" s="100">
        <v>1</v>
      </c>
      <c r="W11" s="76" t="s">
        <v>22</v>
      </c>
      <c r="X11" s="8" t="s">
        <v>39</v>
      </c>
      <c r="Y11">
        <f t="shared" ref="Y11:Y49" si="38">IF(T11="", 0, IF(T11&gt;V11, 3, IF(T11=V11, 1, 0)))</f>
        <v>1</v>
      </c>
      <c r="Z11">
        <f t="shared" ref="Z11:Z49" si="39">IF(V11="", 0, IF(V11&gt;T11, 3, IF(V11=T11, 1, 0)))</f>
        <v>1</v>
      </c>
      <c r="AB11" s="43">
        <v>4</v>
      </c>
      <c r="AC11" s="30" t="str">
        <f t="shared" si="33"/>
        <v>Haiti</v>
      </c>
      <c r="AD11" s="109">
        <f t="shared" si="26"/>
        <v>0</v>
      </c>
      <c r="AE11" s="109">
        <f t="shared" si="27"/>
        <v>-10</v>
      </c>
      <c r="AF11" s="109">
        <f t="shared" si="28"/>
        <v>1</v>
      </c>
      <c r="AG11" s="100"/>
      <c r="AH11" s="72">
        <v>4</v>
      </c>
      <c r="AI11" s="31" t="str">
        <f t="shared" si="29"/>
        <v>Turquia</v>
      </c>
      <c r="AJ11" s="110">
        <f t="shared" si="30"/>
        <v>1</v>
      </c>
      <c r="AK11" s="110">
        <f t="shared" si="31"/>
        <v>-3</v>
      </c>
      <c r="AL11" s="110">
        <f t="shared" si="32"/>
        <v>4</v>
      </c>
      <c r="AM11" s="100"/>
      <c r="AP11" s="100"/>
      <c r="AQ11" s="100"/>
      <c r="AR11" s="100"/>
      <c r="AS11" s="100"/>
      <c r="AV11" s="100"/>
      <c r="AW11" s="100"/>
      <c r="AX11" s="100"/>
    </row>
    <row r="12" spans="1:61">
      <c r="A12" s="125" t="s">
        <v>46</v>
      </c>
      <c r="B12" s="125"/>
      <c r="C12" s="125"/>
      <c r="D12" s="125"/>
      <c r="E12" s="125"/>
      <c r="F12" s="10">
        <v>46186</v>
      </c>
      <c r="G12" s="3"/>
      <c r="J12" s="125" t="s">
        <v>47</v>
      </c>
      <c r="K12" s="125"/>
      <c r="L12" s="125"/>
      <c r="M12" s="125"/>
      <c r="N12" s="125"/>
      <c r="O12" s="10">
        <v>46192</v>
      </c>
      <c r="P12" s="3"/>
      <c r="S12" s="122" t="s">
        <v>48</v>
      </c>
      <c r="T12" s="122"/>
      <c r="U12" s="122"/>
      <c r="V12" s="122"/>
      <c r="W12" s="122"/>
      <c r="X12" s="10">
        <v>46197</v>
      </c>
      <c r="AD12" s="100"/>
      <c r="AE12" s="100"/>
      <c r="AF12" s="100"/>
      <c r="AJ12" s="100"/>
      <c r="AK12" s="100"/>
      <c r="AL12" s="100"/>
      <c r="AM12" s="100"/>
      <c r="AP12" s="100"/>
      <c r="AQ12" s="100"/>
      <c r="AR12" s="100"/>
      <c r="AS12" s="100"/>
      <c r="AV12" s="100"/>
      <c r="AW12" s="100"/>
      <c r="AX12" s="100"/>
    </row>
    <row r="13" spans="1:61">
      <c r="A13" s="43" t="s">
        <v>41</v>
      </c>
      <c r="B13" s="100">
        <v>2</v>
      </c>
      <c r="C13" s="109" t="s">
        <v>12</v>
      </c>
      <c r="D13" s="100">
        <v>0</v>
      </c>
      <c r="E13" s="30" t="s">
        <v>30</v>
      </c>
      <c r="F13" s="8" t="s">
        <v>29</v>
      </c>
      <c r="G13" s="5">
        <f t="shared" ref="G13:G49" si="40">IF(B13="", 0, IF(B13&gt;D13, 3, IF(B13=D13, 1, 0)))</f>
        <v>3</v>
      </c>
      <c r="H13">
        <f t="shared" ref="H13:H49" si="41">IF(D13="", 0, IF(D13&gt;B13, 3, IF(D13=B13, 1, 0)))</f>
        <v>0</v>
      </c>
      <c r="J13" s="43" t="s">
        <v>40</v>
      </c>
      <c r="K13" s="100">
        <v>1</v>
      </c>
      <c r="L13" s="109" t="s">
        <v>12</v>
      </c>
      <c r="M13" s="100">
        <v>2</v>
      </c>
      <c r="N13" s="30" t="s">
        <v>30</v>
      </c>
      <c r="O13" s="8" t="s">
        <v>29</v>
      </c>
      <c r="P13" s="4">
        <f t="shared" ref="P13:P49" si="42">IF(K13="", 0, IF(K13&gt;M13, 3, IF(K13=M13, 1, 0)))</f>
        <v>0</v>
      </c>
      <c r="Q13">
        <f t="shared" ref="Q13:Q49" si="43">IF(M13="", 0, IF(M13&gt;K13, 3, IF(M13=K13, 1, 0)))</f>
        <v>3</v>
      </c>
      <c r="S13" s="41" t="s">
        <v>15</v>
      </c>
      <c r="T13" s="100">
        <v>0</v>
      </c>
      <c r="U13" s="105" t="s">
        <v>12</v>
      </c>
      <c r="V13" s="100">
        <v>3</v>
      </c>
      <c r="W13" s="76" t="s">
        <v>11</v>
      </c>
      <c r="X13" s="8" t="s">
        <v>39</v>
      </c>
      <c r="Y13">
        <f t="shared" ref="Y13:Y49" si="44">IF(T13="", 0, IF(T13&gt;V13, 3, IF(T13=V13, 1, 0)))</f>
        <v>0</v>
      </c>
      <c r="Z13">
        <f t="shared" ref="Z13:Z49" si="45">IF(V13="", 0, IF(V13&gt;T13, 3, IF(V13=T13, 1, 0)))</f>
        <v>3</v>
      </c>
      <c r="AB13" s="48"/>
      <c r="AC13" s="27" t="s">
        <v>49</v>
      </c>
      <c r="AD13" s="47" t="s">
        <v>4</v>
      </c>
      <c r="AE13" s="47" t="s">
        <v>5</v>
      </c>
      <c r="AF13" s="47" t="s">
        <v>6</v>
      </c>
      <c r="AH13" s="68"/>
      <c r="AI13" s="19" t="s">
        <v>50</v>
      </c>
      <c r="AJ13" s="69" t="s">
        <v>4</v>
      </c>
      <c r="AK13" s="69" t="s">
        <v>5</v>
      </c>
      <c r="AL13" s="69" t="s">
        <v>6</v>
      </c>
      <c r="AM13" s="100"/>
      <c r="AP13" s="100"/>
      <c r="AQ13" s="100"/>
      <c r="AR13" s="100"/>
      <c r="AS13" s="100"/>
      <c r="AV13" s="100"/>
      <c r="AW13" s="100"/>
      <c r="AX13" s="100"/>
    </row>
    <row r="14" spans="1:61">
      <c r="A14" s="125" t="s">
        <v>51</v>
      </c>
      <c r="B14" s="125"/>
      <c r="C14" s="125"/>
      <c r="D14" s="125"/>
      <c r="E14" s="125"/>
      <c r="F14" s="10">
        <v>46186</v>
      </c>
      <c r="G14" s="3"/>
      <c r="J14" s="125" t="s">
        <v>52</v>
      </c>
      <c r="K14" s="125"/>
      <c r="L14" s="125"/>
      <c r="M14" s="125"/>
      <c r="N14" s="125"/>
      <c r="O14" s="10">
        <v>46192</v>
      </c>
      <c r="P14" s="3"/>
      <c r="S14" s="126" t="s">
        <v>53</v>
      </c>
      <c r="T14" s="126"/>
      <c r="U14" s="126"/>
      <c r="V14" s="126"/>
      <c r="W14" s="126"/>
      <c r="X14" s="10">
        <v>46198</v>
      </c>
      <c r="AB14" s="46">
        <v>1</v>
      </c>
      <c r="AC14" s="32" t="str">
        <f>INDEX($AC$86:$AC$89, MATCH(LARGE($AG$86:$AG$89, AB14), $AG$86:$AG$89, 0))</f>
        <v>Alemanha</v>
      </c>
      <c r="AD14" s="106">
        <f>VLOOKUP(AC14, $AC$86:$AF$89, 2, 0)</f>
        <v>7</v>
      </c>
      <c r="AE14" s="106">
        <f>VLOOKUP(AC14, $AC$86:$AF$89, 3, 0)</f>
        <v>8</v>
      </c>
      <c r="AF14" s="106">
        <f>VLOOKUP(AC14, $AC$86:$AF$89, 4, 0)</f>
        <v>11</v>
      </c>
      <c r="AH14" s="67">
        <v>1</v>
      </c>
      <c r="AI14" s="33" t="str">
        <f>INDEX($AI$86:$AI$89, MATCH(LARGE($AM$86:$AM$89, AH14), $AM$86:$AM$89, 0))</f>
        <v>Japão</v>
      </c>
      <c r="AJ14" s="107">
        <f>VLOOKUP(AI14, $AI$86:$AL$89, 2, 0)</f>
        <v>7</v>
      </c>
      <c r="AK14" s="107">
        <f>VLOOKUP(AI14, $AI$86:$AL$89, 3, 0)</f>
        <v>3</v>
      </c>
      <c r="AL14" s="107">
        <f>VLOOKUP(AI14, $AI$86:$AL$89, 4, 0)</f>
        <v>6</v>
      </c>
      <c r="AM14" s="100"/>
      <c r="AP14" s="100"/>
      <c r="AQ14" s="100"/>
      <c r="AR14" s="100"/>
      <c r="AS14" s="100"/>
      <c r="AV14" s="100"/>
      <c r="AW14" s="100"/>
      <c r="AX14" s="100"/>
    </row>
    <row r="15" spans="1:61">
      <c r="A15" s="43" t="s">
        <v>31</v>
      </c>
      <c r="B15" s="100">
        <v>0</v>
      </c>
      <c r="C15" s="109" t="s">
        <v>12</v>
      </c>
      <c r="D15" s="100">
        <v>4</v>
      </c>
      <c r="E15" s="30" t="s">
        <v>40</v>
      </c>
      <c r="F15" s="8" t="s">
        <v>39</v>
      </c>
      <c r="G15" s="5">
        <f t="shared" ref="G15:G49" si="46">IF(B15="", 0, IF(B15&gt;D15, 3, IF(B15=D15, 1, 0)))</f>
        <v>0</v>
      </c>
      <c r="H15">
        <f t="shared" ref="H15:H49" si="47">IF(D15="", 0, IF(D15&gt;B15, 3, IF(D15=B15, 1, 0)))</f>
        <v>3</v>
      </c>
      <c r="J15" s="43" t="s">
        <v>41</v>
      </c>
      <c r="K15" s="100">
        <v>5</v>
      </c>
      <c r="L15" s="109" t="s">
        <v>12</v>
      </c>
      <c r="M15" s="100">
        <v>0</v>
      </c>
      <c r="N15" s="30" t="s">
        <v>31</v>
      </c>
      <c r="O15" s="8" t="s">
        <v>54</v>
      </c>
      <c r="P15" s="4">
        <f t="shared" ref="P15:P49" si="48">IF(K15="", 0, IF(K15&gt;M15, 3, IF(K15=M15, 1, 0)))</f>
        <v>3</v>
      </c>
      <c r="Q15">
        <f t="shared" ref="Q15:Q49" si="49">IF(M15="", 0, IF(M15&gt;K15, 3, IF(M15=K15, 1, 0)))</f>
        <v>0</v>
      </c>
      <c r="S15" s="46" t="s">
        <v>55</v>
      </c>
      <c r="T15" s="100">
        <v>0</v>
      </c>
      <c r="U15" s="106" t="s">
        <v>12</v>
      </c>
      <c r="V15" s="100">
        <v>3</v>
      </c>
      <c r="W15" s="32" t="s">
        <v>56</v>
      </c>
      <c r="X15" s="8" t="s">
        <v>57</v>
      </c>
      <c r="Y15">
        <f t="shared" ref="Y15:Y49" si="50">IF(T15="", 0, IF(T15&gt;V15, 3, IF(T15=V15, 1, 0)))</f>
        <v>0</v>
      </c>
      <c r="Z15">
        <f t="shared" ref="Z15:Z49" si="51">IF(V15="", 0, IF(V15&gt;T15, 3, IF(V15=T15, 1, 0)))</f>
        <v>3</v>
      </c>
      <c r="AB15" s="46">
        <v>2</v>
      </c>
      <c r="AC15" s="32" t="str">
        <f t="shared" ref="AC15:AC17" si="52">INDEX($AC$86:$AC$89, MATCH(LARGE($AG$86:$AG$89, AB15), $AG$86:$AG$89, 0))</f>
        <v>Equador</v>
      </c>
      <c r="AD15" s="106">
        <f t="shared" ref="AD15:AD17" si="53">VLOOKUP(AC15, $AC$86:$AF$89, 2, 0)</f>
        <v>7</v>
      </c>
      <c r="AE15" s="106">
        <f t="shared" ref="AE15:AE17" si="54">VLOOKUP(AC15, $AC$86:$AF$89, 3, 0)</f>
        <v>6</v>
      </c>
      <c r="AF15" s="106">
        <f t="shared" ref="AF15:AF17" si="55">VLOOKUP(AC15, $AC$86:$AF$89, 4, 0)</f>
        <v>8</v>
      </c>
      <c r="AH15" s="67">
        <v>2</v>
      </c>
      <c r="AI15" s="33" t="str">
        <f t="shared" ref="AI15:AI17" si="56">INDEX($AI$86:$AI$89, MATCH(LARGE($AM$86:$AM$89, AH15), $AM$86:$AM$89, 0))</f>
        <v>Holanda</v>
      </c>
      <c r="AJ15" s="107">
        <f t="shared" ref="AJ15:AJ17" si="57">VLOOKUP(AI15, $AI$86:$AL$89, 2, 0)</f>
        <v>5</v>
      </c>
      <c r="AK15" s="107">
        <f t="shared" ref="AK15:AK17" si="58">VLOOKUP(AI15, $AI$86:$AL$89, 3, 0)</f>
        <v>1</v>
      </c>
      <c r="AL15" s="107">
        <f t="shared" ref="AL15:AL17" si="59">VLOOKUP(AI15, $AI$86:$AL$89, 4, 0)</f>
        <v>4</v>
      </c>
      <c r="AM15" s="100"/>
      <c r="AP15" s="100"/>
      <c r="AQ15" s="100"/>
      <c r="AR15" s="100"/>
      <c r="AS15" s="100"/>
      <c r="AV15" s="100"/>
      <c r="AW15" s="100"/>
      <c r="AX15" s="100"/>
    </row>
    <row r="16" spans="1:61">
      <c r="A16" s="124" t="s">
        <v>58</v>
      </c>
      <c r="B16" s="124"/>
      <c r="C16" s="124"/>
      <c r="D16" s="124"/>
      <c r="E16" s="124"/>
      <c r="F16" s="10">
        <v>46187</v>
      </c>
      <c r="G16" s="3"/>
      <c r="J16" s="124" t="s">
        <v>59</v>
      </c>
      <c r="K16" s="124"/>
      <c r="L16" s="124"/>
      <c r="M16" s="124"/>
      <c r="N16" s="124"/>
      <c r="O16" s="10">
        <v>46193</v>
      </c>
      <c r="P16" s="3"/>
      <c r="S16" s="126" t="s">
        <v>60</v>
      </c>
      <c r="T16" s="126"/>
      <c r="U16" s="126"/>
      <c r="V16" s="126"/>
      <c r="W16" s="126"/>
      <c r="X16" s="10">
        <v>46198</v>
      </c>
      <c r="AB16" s="46">
        <v>3</v>
      </c>
      <c r="AC16" s="32" t="str">
        <f t="shared" si="52"/>
        <v>Costa do Marfim</v>
      </c>
      <c r="AD16" s="106">
        <f t="shared" si="53"/>
        <v>3</v>
      </c>
      <c r="AE16" s="106">
        <f t="shared" si="54"/>
        <v>-1</v>
      </c>
      <c r="AF16" s="106">
        <f t="shared" si="55"/>
        <v>4</v>
      </c>
      <c r="AH16" s="67">
        <v>3</v>
      </c>
      <c r="AI16" s="33" t="str">
        <f t="shared" si="56"/>
        <v>Suécia</v>
      </c>
      <c r="AJ16" s="107">
        <f t="shared" si="57"/>
        <v>4</v>
      </c>
      <c r="AK16" s="107">
        <f t="shared" si="58"/>
        <v>-1</v>
      </c>
      <c r="AL16" s="107">
        <f t="shared" si="59"/>
        <v>4</v>
      </c>
      <c r="AM16" s="100"/>
      <c r="AP16" s="100"/>
      <c r="AQ16" s="100"/>
      <c r="AR16" s="100"/>
      <c r="AS16" s="100"/>
      <c r="AV16" s="100"/>
      <c r="AW16" s="100"/>
      <c r="AX16" s="100"/>
    </row>
    <row r="17" spans="1:50">
      <c r="A17" s="72" t="s">
        <v>45</v>
      </c>
      <c r="B17" s="100">
        <v>2</v>
      </c>
      <c r="C17" s="110" t="s">
        <v>12</v>
      </c>
      <c r="D17" s="100">
        <v>2</v>
      </c>
      <c r="E17" s="31" t="s">
        <v>61</v>
      </c>
      <c r="F17" s="8" t="s">
        <v>62</v>
      </c>
      <c r="G17" s="5">
        <f t="shared" ref="G17:G49" si="60">IF(B17="", 0, IF(B17&gt;D17, 3, IF(B17=D17, 1, 0)))</f>
        <v>1</v>
      </c>
      <c r="H17">
        <f t="shared" ref="H17:H49" si="61">IF(D17="", 0, IF(D17&gt;B17, 3, IF(D17=B17, 1, 0)))</f>
        <v>1</v>
      </c>
      <c r="J17" s="72" t="s">
        <v>61</v>
      </c>
      <c r="K17" s="100">
        <v>1</v>
      </c>
      <c r="L17" s="110" t="s">
        <v>12</v>
      </c>
      <c r="M17" s="100">
        <v>3</v>
      </c>
      <c r="N17" s="31" t="s">
        <v>38</v>
      </c>
      <c r="O17" s="8" t="s">
        <v>63</v>
      </c>
      <c r="P17" s="4">
        <f t="shared" ref="P17:P49" si="62">IF(K17="", 0, IF(K17&gt;M17, 3, IF(K17=M17, 1, 0)))</f>
        <v>0</v>
      </c>
      <c r="Q17">
        <f t="shared" ref="Q17:Q49" si="63">IF(M17="", 0, IF(M17&gt;K17, 3, IF(M17=K17, 1, 0)))</f>
        <v>3</v>
      </c>
      <c r="S17" s="46" t="s">
        <v>64</v>
      </c>
      <c r="T17" s="100">
        <v>2</v>
      </c>
      <c r="U17" s="106" t="s">
        <v>12</v>
      </c>
      <c r="V17" s="100">
        <v>2</v>
      </c>
      <c r="W17" s="32" t="s">
        <v>65</v>
      </c>
      <c r="X17" s="8" t="s">
        <v>57</v>
      </c>
      <c r="Y17">
        <f t="shared" ref="Y17:Y49" si="64">IF(T17="", 0, IF(T17&gt;V17, 3, IF(T17=V17, 1, 0)))</f>
        <v>1</v>
      </c>
      <c r="Z17">
        <f t="shared" ref="Z17:Z49" si="65">IF(V17="", 0, IF(V17&gt;T17, 3, IF(V17=T17, 1, 0)))</f>
        <v>1</v>
      </c>
      <c r="AB17" s="46">
        <v>4</v>
      </c>
      <c r="AC17" s="32" t="str">
        <f t="shared" si="52"/>
        <v>Curaçao</v>
      </c>
      <c r="AD17" s="106">
        <f t="shared" si="53"/>
        <v>0</v>
      </c>
      <c r="AE17" s="106">
        <f t="shared" si="54"/>
        <v>-13</v>
      </c>
      <c r="AF17" s="106">
        <f t="shared" si="55"/>
        <v>0</v>
      </c>
      <c r="AH17" s="67">
        <v>4</v>
      </c>
      <c r="AI17" s="33" t="str">
        <f t="shared" si="56"/>
        <v>Tunísia</v>
      </c>
      <c r="AJ17" s="107">
        <f t="shared" si="57"/>
        <v>0</v>
      </c>
      <c r="AK17" s="107">
        <f t="shared" si="58"/>
        <v>-3</v>
      </c>
      <c r="AL17" s="107">
        <f t="shared" si="59"/>
        <v>1</v>
      </c>
      <c r="AM17" s="100"/>
      <c r="AP17" s="100"/>
      <c r="AQ17" s="100"/>
      <c r="AR17" s="100"/>
      <c r="AS17" s="100"/>
      <c r="AV17" s="100"/>
      <c r="AW17" s="100"/>
      <c r="AX17" s="100"/>
    </row>
    <row r="18" spans="1:50">
      <c r="A18" s="126" t="s">
        <v>66</v>
      </c>
      <c r="B18" s="126"/>
      <c r="C18" s="126"/>
      <c r="D18" s="126"/>
      <c r="E18" s="126"/>
      <c r="F18" s="10">
        <v>46187</v>
      </c>
      <c r="G18" s="3"/>
      <c r="J18" s="127" t="s">
        <v>67</v>
      </c>
      <c r="K18" s="127"/>
      <c r="L18" s="127"/>
      <c r="M18" s="127"/>
      <c r="N18" s="127"/>
      <c r="O18" s="10">
        <v>46193</v>
      </c>
      <c r="P18" s="3"/>
      <c r="S18" s="127" t="s">
        <v>68</v>
      </c>
      <c r="T18" s="127"/>
      <c r="U18" s="127"/>
      <c r="V18" s="127"/>
      <c r="W18" s="127"/>
      <c r="X18" s="10">
        <v>46198</v>
      </c>
      <c r="AD18" s="100"/>
      <c r="AE18" s="100"/>
      <c r="AF18" s="100"/>
      <c r="AJ18" s="100"/>
      <c r="AK18" s="100"/>
      <c r="AL18" s="100"/>
      <c r="AM18" s="100"/>
      <c r="AP18" s="100"/>
      <c r="AQ18" s="100"/>
      <c r="AR18" s="100"/>
      <c r="AS18" s="100"/>
      <c r="AV18" s="100"/>
      <c r="AW18" s="100"/>
      <c r="AX18" s="100"/>
    </row>
    <row r="19" spans="1:50">
      <c r="A19" s="46" t="s">
        <v>65</v>
      </c>
      <c r="B19" s="100">
        <v>6</v>
      </c>
      <c r="C19" s="106" t="s">
        <v>12</v>
      </c>
      <c r="D19" s="100">
        <v>0</v>
      </c>
      <c r="E19" s="32" t="s">
        <v>55</v>
      </c>
      <c r="F19" s="8" t="s">
        <v>69</v>
      </c>
      <c r="G19" s="5">
        <f t="shared" ref="G19:G49" si="66">IF(B19="", 0, IF(B19&gt;D19, 3, IF(B19=D19, 1, 0)))</f>
        <v>3</v>
      </c>
      <c r="H19">
        <f t="shared" ref="H19:H49" si="67">IF(D19="", 0, IF(D19&gt;B19, 3, IF(D19=B19, 1, 0)))</f>
        <v>0</v>
      </c>
      <c r="J19" s="67" t="s">
        <v>70</v>
      </c>
      <c r="K19" s="100">
        <v>2</v>
      </c>
      <c r="L19" s="107" t="s">
        <v>12</v>
      </c>
      <c r="M19" s="100">
        <v>2</v>
      </c>
      <c r="N19" s="33" t="s">
        <v>71</v>
      </c>
      <c r="O19" s="8" t="s">
        <v>69</v>
      </c>
      <c r="P19" s="4">
        <f t="shared" ref="P19:P49" si="68">IF(K19="", 0, IF(K19&gt;M19, 3, IF(K19=M19, 1, 0)))</f>
        <v>1</v>
      </c>
      <c r="Q19">
        <f t="shared" ref="Q19:Q49" si="69">IF(M19="", 0, IF(M19&gt;K19, 3, IF(M19=K19, 1, 0)))</f>
        <v>1</v>
      </c>
      <c r="S19" s="67" t="s">
        <v>72</v>
      </c>
      <c r="T19" s="100">
        <v>0</v>
      </c>
      <c r="U19" s="107" t="s">
        <v>12</v>
      </c>
      <c r="V19" s="100">
        <v>1</v>
      </c>
      <c r="W19" s="33" t="s">
        <v>70</v>
      </c>
      <c r="X19" s="8" t="s">
        <v>73</v>
      </c>
      <c r="Y19">
        <f t="shared" ref="Y19:Y49" si="70">IF(T19="", 0, IF(T19&gt;V19, 3, IF(T19=V19, 1, 0)))</f>
        <v>0</v>
      </c>
      <c r="Z19">
        <f t="shared" ref="Z19:Z49" si="71">IF(V19="", 0, IF(V19&gt;T19, 3, IF(V19=T19, 1, 0)))</f>
        <v>3</v>
      </c>
      <c r="AB19" s="50"/>
      <c r="AC19" s="21" t="s">
        <v>74</v>
      </c>
      <c r="AD19" s="51" t="s">
        <v>4</v>
      </c>
      <c r="AE19" s="51" t="s">
        <v>5</v>
      </c>
      <c r="AF19" s="51" t="s">
        <v>6</v>
      </c>
      <c r="AG19" s="100"/>
      <c r="AH19" s="65"/>
      <c r="AI19" s="25" t="s">
        <v>75</v>
      </c>
      <c r="AJ19" s="66" t="s">
        <v>4</v>
      </c>
      <c r="AK19" s="66" t="s">
        <v>5</v>
      </c>
      <c r="AL19" s="66" t="s">
        <v>6</v>
      </c>
      <c r="AM19" s="100"/>
      <c r="AP19" s="100"/>
      <c r="AQ19" s="100"/>
      <c r="AR19" s="100"/>
      <c r="AS19" s="100"/>
      <c r="AV19" s="100"/>
      <c r="AW19" s="100"/>
      <c r="AX19" s="100"/>
    </row>
    <row r="20" spans="1:50">
      <c r="A20" s="127" t="s">
        <v>76</v>
      </c>
      <c r="B20" s="127"/>
      <c r="C20" s="127"/>
      <c r="D20" s="127"/>
      <c r="E20" s="127"/>
      <c r="F20" s="10">
        <v>46187</v>
      </c>
      <c r="G20" s="3"/>
      <c r="J20" s="126" t="s">
        <v>77</v>
      </c>
      <c r="K20" s="126"/>
      <c r="L20" s="126"/>
      <c r="M20" s="126"/>
      <c r="N20" s="126"/>
      <c r="O20" s="10">
        <v>46193</v>
      </c>
      <c r="P20" s="3"/>
      <c r="S20" s="127" t="s">
        <v>78</v>
      </c>
      <c r="T20" s="127"/>
      <c r="U20" s="127"/>
      <c r="V20" s="127"/>
      <c r="W20" s="127"/>
      <c r="X20" s="10">
        <v>46198</v>
      </c>
      <c r="AB20" s="49">
        <v>1</v>
      </c>
      <c r="AC20" s="39" t="str">
        <f>INDEX($AO$86:$AO$89, MATCH(LARGE($AS$86:$AS$89, AB20), $AS$86:$AS$89, 0))</f>
        <v>Bélgica</v>
      </c>
      <c r="AD20" s="103">
        <f>VLOOKUP(AC20, $AO$86:$AR$89, 2, 0)</f>
        <v>9</v>
      </c>
      <c r="AE20" s="103">
        <f>VLOOKUP(AC20, $AO$86:$AR$89, 3, 0)</f>
        <v>7</v>
      </c>
      <c r="AF20" s="103">
        <f>VLOOKUP(AC20, $AO$86:$AR$89, 4, 0)</f>
        <v>8</v>
      </c>
      <c r="AG20" s="100"/>
      <c r="AH20" s="64">
        <v>1</v>
      </c>
      <c r="AI20" s="35" t="str">
        <f>INDEX($AU$86:$AU$89, MATCH(LARGE($AY$86:$AY$89, AH20), $AY$86:$AY$89, 0))</f>
        <v>Espanha</v>
      </c>
      <c r="AJ20" s="102">
        <f>VLOOKUP(AI20, $AU$86:$AX$89, 2, 0)</f>
        <v>7</v>
      </c>
      <c r="AK20" s="102">
        <f>VLOOKUP(AI20, $AU$86:$AX$89, 3, 0)</f>
        <v>4</v>
      </c>
      <c r="AL20" s="102">
        <f>VLOOKUP(AI20, $AU$86:$AX$89, 4, 0)</f>
        <v>6</v>
      </c>
      <c r="AM20" s="100"/>
      <c r="AP20" s="100"/>
      <c r="AQ20" s="100"/>
      <c r="AR20" s="100"/>
      <c r="AS20" s="100"/>
      <c r="AV20" s="100"/>
      <c r="AW20" s="100"/>
      <c r="AX20" s="100"/>
    </row>
    <row r="21" spans="1:50">
      <c r="A21" s="67" t="s">
        <v>70</v>
      </c>
      <c r="B21" s="100">
        <v>1</v>
      </c>
      <c r="C21" s="107" t="s">
        <v>12</v>
      </c>
      <c r="D21" s="100">
        <v>1</v>
      </c>
      <c r="E21" s="33" t="s">
        <v>79</v>
      </c>
      <c r="F21" s="8" t="s">
        <v>57</v>
      </c>
      <c r="G21" s="5">
        <f t="shared" ref="G21:G49" si="72">IF(B21="", 0, IF(B21&gt;D21, 3, IF(B21=D21, 1, 0)))</f>
        <v>1</v>
      </c>
      <c r="H21">
        <f t="shared" ref="H21:H49" si="73">IF(D21="", 0, IF(D21&gt;B21, 3, IF(D21=B21, 1, 0)))</f>
        <v>1</v>
      </c>
      <c r="J21" s="46" t="s">
        <v>65</v>
      </c>
      <c r="K21" s="100">
        <v>3</v>
      </c>
      <c r="L21" s="106" t="s">
        <v>12</v>
      </c>
      <c r="M21" s="100">
        <v>1</v>
      </c>
      <c r="N21" s="32" t="s">
        <v>56</v>
      </c>
      <c r="O21" s="8" t="s">
        <v>57</v>
      </c>
      <c r="P21" s="4">
        <f t="shared" ref="P21:P49" si="74">IF(K21="", 0, IF(K21&gt;M21, 3, IF(K21=M21, 1, 0)))</f>
        <v>3</v>
      </c>
      <c r="Q21">
        <f t="shared" ref="Q21:Q49" si="75">IF(M21="", 0, IF(M21&gt;K21, 3, IF(M21=K21, 1, 0)))</f>
        <v>0</v>
      </c>
      <c r="S21" s="67" t="s">
        <v>79</v>
      </c>
      <c r="T21" s="100">
        <v>3</v>
      </c>
      <c r="U21" s="107" t="s">
        <v>12</v>
      </c>
      <c r="V21" s="100">
        <v>1</v>
      </c>
      <c r="W21" s="33" t="s">
        <v>71</v>
      </c>
      <c r="X21" s="8" t="s">
        <v>73</v>
      </c>
      <c r="Y21">
        <f t="shared" ref="Y21:Y49" si="76">IF(T21="", 0, IF(T21&gt;V21, 3, IF(T21=V21, 1, 0)))</f>
        <v>3</v>
      </c>
      <c r="Z21">
        <f t="shared" ref="Z21:Z49" si="77">IF(V21="", 0, IF(V21&gt;T21, 3, IF(V21=T21, 1, 0)))</f>
        <v>0</v>
      </c>
      <c r="AB21" s="49">
        <v>2</v>
      </c>
      <c r="AC21" s="39" t="str">
        <f t="shared" ref="AC21:AC23" si="78">INDEX($AO$86:$AO$89, MATCH(LARGE($AS$86:$AS$89, AB21), $AS$86:$AS$89, 0))</f>
        <v>Egito</v>
      </c>
      <c r="AD21" s="103">
        <f t="shared" ref="AD21:AD23" si="79">VLOOKUP(AC21, $AO$86:$AR$89, 2, 0)</f>
        <v>6</v>
      </c>
      <c r="AE21" s="103">
        <f t="shared" ref="AE21:AE23" si="80">VLOOKUP(AC21, $AO$86:$AR$89, 3, 0)</f>
        <v>0</v>
      </c>
      <c r="AF21" s="103">
        <f t="shared" ref="AF21:AF23" si="81">VLOOKUP(AC21, $AO$86:$AR$89, 4, 0)</f>
        <v>2</v>
      </c>
      <c r="AG21" s="100"/>
      <c r="AH21" s="64">
        <v>2</v>
      </c>
      <c r="AI21" s="35" t="str">
        <f t="shared" ref="AI21:AI23" si="82">INDEX($AU$86:$AU$89, MATCH(LARGE($AY$86:$AY$89, AH21), $AY$86:$AY$89, 0))</f>
        <v>Uruguai</v>
      </c>
      <c r="AJ21" s="102">
        <f t="shared" ref="AJ21:AJ23" si="83">VLOOKUP(AI21, $AU$86:$AX$89, 2, 0)</f>
        <v>5</v>
      </c>
      <c r="AK21" s="102">
        <f t="shared" ref="AK21:AK23" si="84">VLOOKUP(AI21, $AU$86:$AX$89, 3, 0)</f>
        <v>3</v>
      </c>
      <c r="AL21" s="102">
        <f t="shared" ref="AL21:AL23" si="85">VLOOKUP(AI21, $AU$86:$AX$89, 4, 0)</f>
        <v>5</v>
      </c>
      <c r="AM21" s="100"/>
      <c r="AP21" s="100"/>
      <c r="AQ21" s="100"/>
      <c r="AR21" s="100"/>
      <c r="AS21" s="100"/>
      <c r="AV21" s="100"/>
      <c r="AW21" s="100"/>
      <c r="AX21" s="100"/>
    </row>
    <row r="22" spans="1:50">
      <c r="A22" s="126" t="s">
        <v>80</v>
      </c>
      <c r="B22" s="126"/>
      <c r="C22" s="126"/>
      <c r="D22" s="126"/>
      <c r="E22" s="126"/>
      <c r="F22" s="10">
        <v>46187</v>
      </c>
      <c r="G22" s="3"/>
      <c r="J22" s="126" t="s">
        <v>81</v>
      </c>
      <c r="K22" s="126"/>
      <c r="L22" s="126"/>
      <c r="M22" s="126"/>
      <c r="N22" s="126"/>
      <c r="O22" s="10">
        <v>46193</v>
      </c>
      <c r="P22" s="3"/>
      <c r="S22" s="124" t="s">
        <v>82</v>
      </c>
      <c r="T22" s="124"/>
      <c r="U22" s="124"/>
      <c r="V22" s="124"/>
      <c r="W22" s="124"/>
      <c r="X22" s="10">
        <v>46198</v>
      </c>
      <c r="AB22" s="49">
        <v>3</v>
      </c>
      <c r="AC22" s="39" t="str">
        <f t="shared" si="78"/>
        <v>Irã</v>
      </c>
      <c r="AD22" s="103">
        <f t="shared" si="79"/>
        <v>1</v>
      </c>
      <c r="AE22" s="103">
        <f t="shared" si="80"/>
        <v>-3</v>
      </c>
      <c r="AF22" s="103">
        <f t="shared" si="81"/>
        <v>1</v>
      </c>
      <c r="AG22" s="100"/>
      <c r="AH22" s="64">
        <v>3</v>
      </c>
      <c r="AI22" s="35" t="str">
        <f t="shared" si="82"/>
        <v>Arábia Saudita</v>
      </c>
      <c r="AJ22" s="102">
        <f t="shared" si="83"/>
        <v>4</v>
      </c>
      <c r="AK22" s="102">
        <f t="shared" si="84"/>
        <v>2</v>
      </c>
      <c r="AL22" s="102">
        <f t="shared" si="85"/>
        <v>5</v>
      </c>
      <c r="AM22" s="100"/>
      <c r="AP22" s="100"/>
      <c r="AQ22" s="100"/>
      <c r="AR22" s="100"/>
      <c r="AS22" s="100"/>
      <c r="AV22" s="100"/>
      <c r="AW22" s="100"/>
      <c r="AX22" s="100"/>
    </row>
    <row r="23" spans="1:50">
      <c r="A23" s="46" t="s">
        <v>56</v>
      </c>
      <c r="B23" s="100">
        <v>0</v>
      </c>
      <c r="C23" s="106" t="s">
        <v>12</v>
      </c>
      <c r="D23" s="100">
        <v>2</v>
      </c>
      <c r="E23" s="32" t="s">
        <v>64</v>
      </c>
      <c r="F23" s="8" t="s">
        <v>73</v>
      </c>
      <c r="G23" s="5">
        <f t="shared" ref="G23:G49" si="86">IF(B23="", 0, IF(B23&gt;D23, 3, IF(B23=D23, 1, 0)))</f>
        <v>0</v>
      </c>
      <c r="H23">
        <f t="shared" ref="H23:H49" si="87">IF(D23="", 0, IF(D23&gt;B23, 3, IF(D23=B23, 1, 0)))</f>
        <v>3</v>
      </c>
      <c r="J23" s="46" t="s">
        <v>64</v>
      </c>
      <c r="K23" s="100">
        <v>4</v>
      </c>
      <c r="L23" s="106" t="s">
        <v>12</v>
      </c>
      <c r="M23" s="100">
        <v>0</v>
      </c>
      <c r="N23" s="32" t="s">
        <v>55</v>
      </c>
      <c r="O23" s="8" t="s">
        <v>83</v>
      </c>
      <c r="P23" s="4">
        <f t="shared" ref="P23:P49" si="88">IF(K23="", 0, IF(K23&gt;M23, 3, IF(K23=M23, 1, 0)))</f>
        <v>3</v>
      </c>
      <c r="Q23">
        <f t="shared" ref="Q23:Q49" si="89">IF(M23="", 0, IF(M23&gt;K23, 3, IF(M23=K23, 1, 0)))</f>
        <v>0</v>
      </c>
      <c r="S23" s="72" t="s">
        <v>61</v>
      </c>
      <c r="T23" s="100">
        <v>1</v>
      </c>
      <c r="U23" s="110" t="s">
        <v>12</v>
      </c>
      <c r="V23" s="100">
        <v>2</v>
      </c>
      <c r="W23" s="31" t="s">
        <v>37</v>
      </c>
      <c r="X23" s="8" t="s">
        <v>23</v>
      </c>
      <c r="Y23">
        <f t="shared" ref="Y23:Y49" si="90">IF(T23="", 0, IF(T23&gt;V23, 3, IF(T23=V23, 1, 0)))</f>
        <v>0</v>
      </c>
      <c r="Z23">
        <f t="shared" ref="Z23:Z49" si="91">IF(V23="", 0, IF(V23&gt;T23, 3, IF(V23=T23, 1, 0)))</f>
        <v>3</v>
      </c>
      <c r="AB23" s="49">
        <v>4</v>
      </c>
      <c r="AC23" s="39" t="str">
        <f t="shared" si="78"/>
        <v>Nova Zelândia</v>
      </c>
      <c r="AD23" s="103">
        <f t="shared" si="79"/>
        <v>1</v>
      </c>
      <c r="AE23" s="103">
        <f t="shared" si="80"/>
        <v>-4</v>
      </c>
      <c r="AF23" s="103">
        <f t="shared" si="81"/>
        <v>0</v>
      </c>
      <c r="AG23" s="100"/>
      <c r="AH23" s="64">
        <v>4</v>
      </c>
      <c r="AI23" s="35" t="str">
        <f t="shared" si="82"/>
        <v>Cabo Verde</v>
      </c>
      <c r="AJ23" s="102">
        <f t="shared" si="83"/>
        <v>0</v>
      </c>
      <c r="AK23" s="102">
        <f t="shared" si="84"/>
        <v>-9</v>
      </c>
      <c r="AL23" s="102">
        <f t="shared" si="85"/>
        <v>0</v>
      </c>
      <c r="AM23" s="100"/>
      <c r="AP23" s="100"/>
      <c r="AQ23" s="100"/>
      <c r="AR23" s="100"/>
      <c r="AS23" s="100"/>
      <c r="AV23" s="100"/>
      <c r="AW23" s="100"/>
      <c r="AX23" s="100"/>
    </row>
    <row r="24" spans="1:50">
      <c r="A24" s="127" t="s">
        <v>84</v>
      </c>
      <c r="B24" s="127"/>
      <c r="C24" s="127"/>
      <c r="D24" s="127"/>
      <c r="E24" s="127"/>
      <c r="F24" s="10">
        <v>46187</v>
      </c>
      <c r="G24" s="3"/>
      <c r="J24" s="127" t="s">
        <v>85</v>
      </c>
      <c r="K24" s="127"/>
      <c r="L24" s="127"/>
      <c r="M24" s="127"/>
      <c r="N24" s="127"/>
      <c r="O24" s="10">
        <v>46194</v>
      </c>
      <c r="P24" s="3"/>
      <c r="S24" s="124" t="s">
        <v>86</v>
      </c>
      <c r="T24" s="124"/>
      <c r="U24" s="124"/>
      <c r="V24" s="124"/>
      <c r="W24" s="124"/>
      <c r="X24" s="10">
        <v>46198</v>
      </c>
      <c r="AD24" s="100"/>
      <c r="AE24" s="100"/>
      <c r="AF24" s="100"/>
      <c r="AJ24" s="100"/>
      <c r="AK24" s="100"/>
      <c r="AL24" s="100"/>
      <c r="AM24" s="100"/>
      <c r="AP24" s="100"/>
      <c r="AQ24" s="100"/>
      <c r="AR24" s="100"/>
      <c r="AS24" s="100"/>
      <c r="AV24" s="100"/>
      <c r="AW24" s="100"/>
      <c r="AX24" s="100"/>
    </row>
    <row r="25" spans="1:50">
      <c r="A25" s="67" t="s">
        <v>71</v>
      </c>
      <c r="B25" s="100">
        <v>1</v>
      </c>
      <c r="C25" s="107" t="s">
        <v>12</v>
      </c>
      <c r="D25" s="100">
        <v>0</v>
      </c>
      <c r="E25" s="33" t="s">
        <v>72</v>
      </c>
      <c r="F25" s="8" t="s">
        <v>23</v>
      </c>
      <c r="G25" s="5">
        <f t="shared" ref="G25:G49" si="92">IF(B25="", 0, IF(B25&gt;D25, 3, IF(B25=D25, 1, 0)))</f>
        <v>3</v>
      </c>
      <c r="H25">
        <f t="shared" ref="H25:H49" si="93">IF(D25="", 0, IF(D25&gt;B25, 3, IF(D25=B25, 1, 0)))</f>
        <v>0</v>
      </c>
      <c r="J25" s="67" t="s">
        <v>72</v>
      </c>
      <c r="K25" s="100">
        <v>1</v>
      </c>
      <c r="L25" s="107" t="s">
        <v>12</v>
      </c>
      <c r="M25" s="100">
        <v>2</v>
      </c>
      <c r="N25" s="33" t="s">
        <v>79</v>
      </c>
      <c r="O25" s="8" t="s">
        <v>62</v>
      </c>
      <c r="P25" s="4">
        <f t="shared" ref="P25:P49" si="94">IF(K25="", 0, IF(K25&gt;M25, 3, IF(K25=M25, 1, 0)))</f>
        <v>0</v>
      </c>
      <c r="Q25">
        <f t="shared" ref="Q25:Q49" si="95">IF(M25="", 0, IF(M25&gt;K25, 3, IF(M25=K25, 1, 0)))</f>
        <v>3</v>
      </c>
      <c r="S25" s="72" t="s">
        <v>38</v>
      </c>
      <c r="T25" s="100">
        <v>4</v>
      </c>
      <c r="U25" s="110" t="s">
        <v>12</v>
      </c>
      <c r="V25" s="100">
        <v>1</v>
      </c>
      <c r="W25" s="31" t="s">
        <v>45</v>
      </c>
      <c r="X25" s="8" t="s">
        <v>23</v>
      </c>
      <c r="Y25">
        <f t="shared" ref="Y25:Y49" si="96">IF(T25="", 0, IF(T25&gt;V25, 3, IF(T25=V25, 1, 0)))</f>
        <v>3</v>
      </c>
      <c r="Z25">
        <f t="shared" ref="Z25:Z49" si="97">IF(V25="", 0, IF(V25&gt;T25, 3, IF(V25=T25, 1, 0)))</f>
        <v>0</v>
      </c>
      <c r="AB25" s="54"/>
      <c r="AC25" s="22" t="s">
        <v>87</v>
      </c>
      <c r="AD25" s="53" t="s">
        <v>4</v>
      </c>
      <c r="AE25" s="53" t="s">
        <v>5</v>
      </c>
      <c r="AF25" s="53" t="s">
        <v>6</v>
      </c>
      <c r="AH25" s="62"/>
      <c r="AI25" s="24" t="s">
        <v>88</v>
      </c>
      <c r="AJ25" s="63" t="s">
        <v>4</v>
      </c>
      <c r="AK25" s="63" t="s">
        <v>5</v>
      </c>
      <c r="AL25" s="63" t="s">
        <v>6</v>
      </c>
      <c r="AM25" s="100"/>
      <c r="AP25" s="100"/>
      <c r="AQ25" s="100"/>
      <c r="AR25" s="100"/>
      <c r="AS25" s="100"/>
      <c r="AV25" s="100"/>
      <c r="AW25" s="100"/>
      <c r="AX25" s="100"/>
    </row>
    <row r="26" spans="1:50">
      <c r="A26" s="135" t="s">
        <v>89</v>
      </c>
      <c r="B26" s="135"/>
      <c r="C26" s="135"/>
      <c r="D26" s="135"/>
      <c r="E26" s="135"/>
      <c r="F26" s="10">
        <v>46188</v>
      </c>
      <c r="G26" s="3"/>
      <c r="J26" s="135" t="s">
        <v>90</v>
      </c>
      <c r="K26" s="135"/>
      <c r="L26" s="135"/>
      <c r="M26" s="135"/>
      <c r="N26" s="135"/>
      <c r="O26" s="10">
        <v>46194</v>
      </c>
      <c r="P26" s="3"/>
      <c r="S26" s="120" t="s">
        <v>91</v>
      </c>
      <c r="T26" s="120"/>
      <c r="U26" s="120"/>
      <c r="V26" s="120"/>
      <c r="W26" s="120"/>
      <c r="X26" s="10">
        <v>46199</v>
      </c>
      <c r="AB26" s="52">
        <v>1</v>
      </c>
      <c r="AC26" s="37" t="str">
        <f>INDEX($AC$92:$AC$95, MATCH(LARGE($AG$92:$AG$95, AB26), $AG$92:$AG$95, 0))</f>
        <v>França</v>
      </c>
      <c r="AD26" s="113">
        <f>VLOOKUP(AC26, $AC$92:$AF$95, 2, 0)</f>
        <v>9</v>
      </c>
      <c r="AE26" s="113">
        <f>VLOOKUP(AC26, $AC$92:$AF$95, 3, 0)</f>
        <v>8</v>
      </c>
      <c r="AF26" s="113">
        <f>VLOOKUP(AC26, $AC$92:$AF$95, 4, 0)</f>
        <v>10</v>
      </c>
      <c r="AH26" s="61">
        <v>1</v>
      </c>
      <c r="AI26" s="36" t="str">
        <f>INDEX($AI$92:$AI$95, MATCH(LARGE($AM$92:$AM$95, AH26), $AM$92:$AM$95, 0))</f>
        <v>Argentina</v>
      </c>
      <c r="AJ26" s="111">
        <f>VLOOKUP(AI26, $AI$92:$AL$95, 2, 0)</f>
        <v>9</v>
      </c>
      <c r="AK26" s="111">
        <f>VLOOKUP(AI26, $AI$92:$AL$95, 3, 0)</f>
        <v>8</v>
      </c>
      <c r="AL26" s="111">
        <f>VLOOKUP(AI26, $AI$92:$AL$95, 4, 0)</f>
        <v>9</v>
      </c>
      <c r="AM26" s="100"/>
      <c r="AP26" s="100"/>
      <c r="AQ26" s="100"/>
      <c r="AR26" s="100"/>
      <c r="AS26" s="100"/>
      <c r="AV26" s="100"/>
      <c r="AW26" s="100"/>
      <c r="AX26" s="100"/>
    </row>
    <row r="27" spans="1:50">
      <c r="A27" s="64" t="s">
        <v>92</v>
      </c>
      <c r="B27" s="100">
        <v>3</v>
      </c>
      <c r="C27" s="102" t="s">
        <v>12</v>
      </c>
      <c r="D27" s="100">
        <v>0</v>
      </c>
      <c r="E27" s="35" t="s">
        <v>93</v>
      </c>
      <c r="F27" s="8" t="s">
        <v>16</v>
      </c>
      <c r="G27" s="5">
        <f t="shared" ref="G27:G49" si="98">IF(B27="", 0, IF(B27&gt;D27, 3, IF(B27=D27, 1, 0)))</f>
        <v>3</v>
      </c>
      <c r="H27">
        <f t="shared" ref="H27:H49" si="99">IF(D27="", 0, IF(D27&gt;B27, 3, IF(D27=B27, 1, 0)))</f>
        <v>0</v>
      </c>
      <c r="J27" s="64" t="s">
        <v>92</v>
      </c>
      <c r="K27" s="100">
        <v>2</v>
      </c>
      <c r="L27" s="102" t="s">
        <v>12</v>
      </c>
      <c r="M27" s="100">
        <v>1</v>
      </c>
      <c r="N27" s="35" t="s">
        <v>94</v>
      </c>
      <c r="O27" s="8" t="s">
        <v>16</v>
      </c>
      <c r="P27" s="4">
        <f t="shared" ref="P27:P49" si="100">IF(K27="", 0, IF(K27&gt;M27, 3, IF(K27=M27, 1, 0)))</f>
        <v>3</v>
      </c>
      <c r="Q27">
        <f t="shared" ref="Q27:Q49" si="101">IF(M27="", 0, IF(M27&gt;K27, 3, IF(M27=K27, 1, 0)))</f>
        <v>0</v>
      </c>
      <c r="S27" s="52" t="s">
        <v>95</v>
      </c>
      <c r="T27" s="100">
        <v>1</v>
      </c>
      <c r="U27" s="113" t="s">
        <v>12</v>
      </c>
      <c r="V27" s="100">
        <v>3</v>
      </c>
      <c r="W27" s="37" t="s">
        <v>96</v>
      </c>
      <c r="X27" s="8" t="s">
        <v>14</v>
      </c>
      <c r="Y27">
        <f t="shared" ref="Y27:Y49" si="102">IF(T27="", 0, IF(T27&gt;V27, 3, IF(T27=V27, 1, 0)))</f>
        <v>0</v>
      </c>
      <c r="Z27">
        <f t="shared" ref="Z27:Z49" si="103">IF(V27="", 0, IF(V27&gt;T27, 3, IF(V27=T27, 1, 0)))</f>
        <v>3</v>
      </c>
      <c r="AB27" s="52">
        <v>2</v>
      </c>
      <c r="AC27" s="37" t="str">
        <f t="shared" ref="AC27:AC29" si="104">INDEX($AC$92:$AC$95, MATCH(LARGE($AG$92:$AG$95, AB27), $AG$92:$AG$95, 0))</f>
        <v>Noruega</v>
      </c>
      <c r="AD27" s="113">
        <f t="shared" ref="AD27:AD29" si="105">VLOOKUP(AC27, $AC$92:$AF$95, 2, 0)</f>
        <v>4</v>
      </c>
      <c r="AE27" s="113">
        <f t="shared" ref="AE27:AE29" si="106">VLOOKUP(AC27, $AC$92:$AF$95, 3, 0)</f>
        <v>1</v>
      </c>
      <c r="AF27" s="113">
        <f t="shared" ref="AF27:AF29" si="107">VLOOKUP(AC27, $AC$92:$AF$95, 4, 0)</f>
        <v>6</v>
      </c>
      <c r="AH27" s="61">
        <v>2</v>
      </c>
      <c r="AI27" s="36" t="str">
        <f t="shared" ref="AI27:AI29" si="108">INDEX($AI$92:$AI$95, MATCH(LARGE($AM$92:$AM$95, AH27), $AM$92:$AM$95, 0))</f>
        <v>Argélia</v>
      </c>
      <c r="AJ27" s="111">
        <f t="shared" ref="AJ27:AJ29" si="109">VLOOKUP(AI27, $AI$92:$AL$95, 2, 0)</f>
        <v>6</v>
      </c>
      <c r="AK27" s="111">
        <f t="shared" ref="AK27:AK29" si="110">VLOOKUP(AI27, $AI$92:$AL$95, 3, 0)</f>
        <v>1</v>
      </c>
      <c r="AL27" s="111">
        <f t="shared" ref="AL27:AL29" si="111">VLOOKUP(AI27, $AI$92:$AL$95, 4, 0)</f>
        <v>4</v>
      </c>
      <c r="AM27" s="100"/>
      <c r="AP27" s="100"/>
      <c r="AQ27" s="100"/>
      <c r="AR27" s="100"/>
      <c r="AS27" s="100"/>
      <c r="AV27" s="100"/>
      <c r="AW27" s="100"/>
      <c r="AX27" s="100"/>
    </row>
    <row r="28" spans="1:50">
      <c r="A28" s="128" t="s">
        <v>97</v>
      </c>
      <c r="B28" s="128"/>
      <c r="C28" s="128"/>
      <c r="D28" s="128"/>
      <c r="E28" s="128"/>
      <c r="F28" s="10">
        <v>46188</v>
      </c>
      <c r="G28" s="3"/>
      <c r="J28" s="128" t="s">
        <v>98</v>
      </c>
      <c r="K28" s="128"/>
      <c r="L28" s="128"/>
      <c r="M28" s="128"/>
      <c r="N28" s="128"/>
      <c r="O28" s="10">
        <v>46194</v>
      </c>
      <c r="P28" s="3"/>
      <c r="S28" s="120" t="s">
        <v>99</v>
      </c>
      <c r="T28" s="120"/>
      <c r="U28" s="120"/>
      <c r="V28" s="120"/>
      <c r="W28" s="120"/>
      <c r="X28" s="10">
        <v>46199</v>
      </c>
      <c r="AB28" s="52">
        <v>3</v>
      </c>
      <c r="AC28" s="37" t="str">
        <f t="shared" si="104"/>
        <v>Senegal</v>
      </c>
      <c r="AD28" s="113">
        <f t="shared" si="105"/>
        <v>4</v>
      </c>
      <c r="AE28" s="113">
        <f t="shared" si="106"/>
        <v>-1</v>
      </c>
      <c r="AF28" s="113">
        <f t="shared" si="107"/>
        <v>4</v>
      </c>
      <c r="AH28" s="61">
        <v>3</v>
      </c>
      <c r="AI28" s="36" t="str">
        <f t="shared" si="108"/>
        <v>Áustria</v>
      </c>
      <c r="AJ28" s="111">
        <f t="shared" si="109"/>
        <v>1</v>
      </c>
      <c r="AK28" s="111">
        <f t="shared" si="110"/>
        <v>-4</v>
      </c>
      <c r="AL28" s="111">
        <f t="shared" si="111"/>
        <v>3</v>
      </c>
      <c r="AM28" s="100"/>
      <c r="AP28" s="100"/>
      <c r="AQ28" s="100"/>
      <c r="AR28" s="100"/>
      <c r="AS28" s="100"/>
      <c r="AV28" s="100"/>
      <c r="AW28" s="100"/>
      <c r="AX28" s="100"/>
    </row>
    <row r="29" spans="1:50">
      <c r="A29" s="49" t="s">
        <v>100</v>
      </c>
      <c r="B29" s="100">
        <v>2</v>
      </c>
      <c r="C29" s="103" t="s">
        <v>12</v>
      </c>
      <c r="D29" s="100">
        <v>0</v>
      </c>
      <c r="E29" s="39" t="s">
        <v>101</v>
      </c>
      <c r="F29" s="8" t="s">
        <v>14</v>
      </c>
      <c r="G29" s="5">
        <f t="shared" ref="G29:G49" si="112">IF(B29="", 0, IF(B29&gt;D29, 3, IF(B29=D29, 1, 0)))</f>
        <v>3</v>
      </c>
      <c r="H29">
        <f t="shared" ref="H29:H49" si="113">IF(D29="", 0, IF(D29&gt;B29, 3, IF(D29=B29, 1, 0)))</f>
        <v>0</v>
      </c>
      <c r="J29" s="49" t="s">
        <v>100</v>
      </c>
      <c r="K29" s="100">
        <v>3</v>
      </c>
      <c r="L29" s="103" t="s">
        <v>12</v>
      </c>
      <c r="M29" s="100">
        <v>1</v>
      </c>
      <c r="N29" s="39" t="s">
        <v>102</v>
      </c>
      <c r="O29" s="8" t="s">
        <v>14</v>
      </c>
      <c r="P29" s="4">
        <f t="shared" ref="P29:P49" si="114">IF(K29="", 0, IF(K29&gt;M29, 3, IF(K29=M29, 1, 0)))</f>
        <v>3</v>
      </c>
      <c r="Q29">
        <f t="shared" ref="Q29:Q49" si="115">IF(M29="", 0, IF(M29&gt;K29, 3, IF(M29=K29, 1, 0)))</f>
        <v>0</v>
      </c>
      <c r="S29" s="52" t="s">
        <v>103</v>
      </c>
      <c r="T29" s="100">
        <v>1</v>
      </c>
      <c r="U29" s="113" t="s">
        <v>12</v>
      </c>
      <c r="V29" s="100">
        <v>0</v>
      </c>
      <c r="W29" s="37" t="s">
        <v>104</v>
      </c>
      <c r="X29" s="8" t="s">
        <v>14</v>
      </c>
      <c r="Y29">
        <f t="shared" ref="Y29:Y49" si="116">IF(T29="", 0, IF(T29&gt;V29, 3, IF(T29=V29, 1, 0)))</f>
        <v>3</v>
      </c>
      <c r="Z29">
        <f t="shared" ref="Z29:Z49" si="117">IF(V29="", 0, IF(V29&gt;T29, 3, IF(V29=T29, 1, 0)))</f>
        <v>0</v>
      </c>
      <c r="AB29" s="52">
        <v>4</v>
      </c>
      <c r="AC29" s="37" t="str">
        <f t="shared" si="104"/>
        <v>Iraque</v>
      </c>
      <c r="AD29" s="113">
        <f t="shared" si="105"/>
        <v>0</v>
      </c>
      <c r="AE29" s="113">
        <f t="shared" si="106"/>
        <v>-8</v>
      </c>
      <c r="AF29" s="113">
        <f t="shared" si="107"/>
        <v>0</v>
      </c>
      <c r="AH29" s="61">
        <v>4</v>
      </c>
      <c r="AI29" s="36" t="str">
        <f t="shared" si="108"/>
        <v>Jordânia</v>
      </c>
      <c r="AJ29" s="111">
        <f t="shared" si="109"/>
        <v>1</v>
      </c>
      <c r="AK29" s="111">
        <f t="shared" si="110"/>
        <v>-5</v>
      </c>
      <c r="AL29" s="111">
        <f t="shared" si="111"/>
        <v>3</v>
      </c>
      <c r="AM29" s="100"/>
      <c r="AP29" s="100"/>
      <c r="AQ29" s="100"/>
      <c r="AR29" s="100"/>
      <c r="AS29" s="100"/>
      <c r="AV29" s="100"/>
      <c r="AW29" s="100"/>
      <c r="AX29" s="100"/>
    </row>
    <row r="30" spans="1:50">
      <c r="A30" s="135" t="s">
        <v>105</v>
      </c>
      <c r="B30" s="135"/>
      <c r="C30" s="135"/>
      <c r="D30" s="135"/>
      <c r="E30" s="135"/>
      <c r="F30" s="10">
        <v>46188</v>
      </c>
      <c r="G30" s="3"/>
      <c r="J30" s="135" t="s">
        <v>106</v>
      </c>
      <c r="K30" s="135"/>
      <c r="L30" s="135"/>
      <c r="M30" s="135"/>
      <c r="N30" s="135"/>
      <c r="O30" s="10">
        <v>46194</v>
      </c>
      <c r="P30" s="3"/>
      <c r="S30" s="135" t="s">
        <v>107</v>
      </c>
      <c r="T30" s="135"/>
      <c r="U30" s="135"/>
      <c r="V30" s="135"/>
      <c r="W30" s="135"/>
      <c r="X30" s="10">
        <v>46199</v>
      </c>
      <c r="AD30" s="100"/>
      <c r="AE30" s="100"/>
      <c r="AF30" s="100"/>
      <c r="AJ30" s="100"/>
      <c r="AK30" s="100"/>
      <c r="AL30" s="100"/>
      <c r="AM30" s="100"/>
      <c r="AP30" s="100"/>
      <c r="AQ30" s="100"/>
      <c r="AR30" s="100"/>
      <c r="AS30" s="100"/>
      <c r="AV30" s="100"/>
      <c r="AW30" s="100"/>
      <c r="AX30" s="100"/>
    </row>
    <row r="31" spans="1:50">
      <c r="A31" s="64" t="s">
        <v>94</v>
      </c>
      <c r="B31" s="100">
        <v>1</v>
      </c>
      <c r="C31" s="102" t="s">
        <v>12</v>
      </c>
      <c r="D31" s="100">
        <v>1</v>
      </c>
      <c r="E31" s="35" t="s">
        <v>108</v>
      </c>
      <c r="F31" s="8" t="s">
        <v>29</v>
      </c>
      <c r="G31" s="5">
        <f t="shared" ref="G31:G49" si="118">IF(B31="", 0, IF(B31&gt;D31, 3, IF(B31=D31, 1, 0)))</f>
        <v>1</v>
      </c>
      <c r="H31">
        <f t="shared" ref="H31:H49" si="119">IF(D31="", 0, IF(D31&gt;B31, 3, IF(D31=B31, 1, 0)))</f>
        <v>1</v>
      </c>
      <c r="J31" s="64" t="s">
        <v>108</v>
      </c>
      <c r="K31" s="100">
        <v>3</v>
      </c>
      <c r="L31" s="102" t="s">
        <v>12</v>
      </c>
      <c r="M31" s="100">
        <v>0</v>
      </c>
      <c r="N31" s="35" t="s">
        <v>93</v>
      </c>
      <c r="O31" s="8" t="s">
        <v>29</v>
      </c>
      <c r="P31" s="4">
        <f t="shared" ref="P31:P49" si="120">IF(K31="", 0, IF(K31&gt;M31, 3, IF(K31=M31, 1, 0)))</f>
        <v>3</v>
      </c>
      <c r="Q31">
        <f t="shared" ref="Q31:Q49" si="121">IF(M31="", 0, IF(M31&gt;K31, 3, IF(M31=K31, 1, 0)))</f>
        <v>0</v>
      </c>
      <c r="S31" s="64" t="s">
        <v>93</v>
      </c>
      <c r="T31" s="100">
        <v>0</v>
      </c>
      <c r="U31" s="102" t="s">
        <v>12</v>
      </c>
      <c r="V31" s="100">
        <v>3</v>
      </c>
      <c r="W31" s="35" t="s">
        <v>94</v>
      </c>
      <c r="X31" s="8" t="s">
        <v>83</v>
      </c>
      <c r="Y31">
        <f t="shared" ref="Y31:Y49" si="122">IF(T31="", 0, IF(T31&gt;V31, 3, IF(T31=V31, 1, 0)))</f>
        <v>0</v>
      </c>
      <c r="Z31">
        <f t="shared" ref="Z31:Z49" si="123">IF(V31="", 0, IF(V31&gt;T31, 3, IF(V31=T31, 1, 0)))</f>
        <v>3</v>
      </c>
      <c r="AB31" s="56"/>
      <c r="AC31" s="26" t="s">
        <v>109</v>
      </c>
      <c r="AD31" s="55" t="s">
        <v>4</v>
      </c>
      <c r="AE31" s="55" t="s">
        <v>5</v>
      </c>
      <c r="AF31" s="55" t="s">
        <v>6</v>
      </c>
      <c r="AG31" s="100"/>
      <c r="AH31" s="58"/>
      <c r="AI31" s="23" t="s">
        <v>110</v>
      </c>
      <c r="AJ31" s="59" t="s">
        <v>4</v>
      </c>
      <c r="AK31" s="59" t="s">
        <v>5</v>
      </c>
      <c r="AL31" s="59" t="s">
        <v>6</v>
      </c>
      <c r="AM31" s="100"/>
      <c r="AP31" s="100"/>
      <c r="AQ31" s="100"/>
      <c r="AR31" s="100"/>
      <c r="AS31" s="100"/>
      <c r="AV31" s="100"/>
      <c r="AW31" s="100"/>
      <c r="AX31" s="100"/>
    </row>
    <row r="32" spans="1:50">
      <c r="A32" s="128" t="s">
        <v>111</v>
      </c>
      <c r="B32" s="128"/>
      <c r="C32" s="128"/>
      <c r="D32" s="128"/>
      <c r="E32" s="128"/>
      <c r="F32" s="10">
        <v>46188</v>
      </c>
      <c r="G32" s="3"/>
      <c r="J32" s="128" t="s">
        <v>112</v>
      </c>
      <c r="K32" s="128"/>
      <c r="L32" s="128"/>
      <c r="M32" s="128"/>
      <c r="N32" s="128"/>
      <c r="O32" s="10">
        <v>46194</v>
      </c>
      <c r="P32" s="3"/>
      <c r="S32" s="135" t="s">
        <v>113</v>
      </c>
      <c r="T32" s="135"/>
      <c r="U32" s="135"/>
      <c r="V32" s="135"/>
      <c r="W32" s="135"/>
      <c r="X32" s="10">
        <v>46199</v>
      </c>
      <c r="AB32" s="57">
        <v>1</v>
      </c>
      <c r="AC32" s="38" t="str">
        <f>INDEX($AO$92:$AO$95, MATCH(LARGE($AS$92:$AS$95, AB32), $AS$92:$AS$95, 0))</f>
        <v>Colômbia</v>
      </c>
      <c r="AD32" s="112">
        <f>VLOOKUP(AC32, $AO$92:$AR$95, 2, 0)</f>
        <v>7</v>
      </c>
      <c r="AE32" s="112">
        <f>VLOOKUP(AC32, $AO$92:$AR$95, 3, 0)</f>
        <v>10</v>
      </c>
      <c r="AF32" s="112">
        <f>VLOOKUP(AC32, $AO$92:$AR$95, 4, 0)</f>
        <v>10</v>
      </c>
      <c r="AG32" s="100"/>
      <c r="AH32" s="60">
        <v>1</v>
      </c>
      <c r="AI32" s="34" t="str">
        <f>INDEX($AU$92:$AU$95, MATCH(LARGE($AY$92:$AY$95, AH32), $AY$92:$AY$95, 0))</f>
        <v>Inglaterra</v>
      </c>
      <c r="AJ32" s="104">
        <f>VLOOKUP(AI32, $AU$92:$AX$95, 2, 0)</f>
        <v>7</v>
      </c>
      <c r="AK32" s="104">
        <f>VLOOKUP(AI32, $AU$92:$AX$95, 3, 0)</f>
        <v>9</v>
      </c>
      <c r="AL32" s="104">
        <f>VLOOKUP(AI32, $AU$92:$AX$95, 4, 0)</f>
        <v>9</v>
      </c>
      <c r="AM32" s="100"/>
      <c r="AP32" s="100"/>
      <c r="AQ32" s="100"/>
      <c r="AR32" s="100"/>
      <c r="AS32" s="100"/>
      <c r="AV32" s="100"/>
      <c r="AW32" s="100"/>
      <c r="AX32" s="100"/>
    </row>
    <row r="33" spans="1:50">
      <c r="A33" s="49" t="s">
        <v>102</v>
      </c>
      <c r="B33" s="100">
        <v>0</v>
      </c>
      <c r="C33" s="103" t="s">
        <v>12</v>
      </c>
      <c r="D33" s="100">
        <v>0</v>
      </c>
      <c r="E33" s="39" t="s">
        <v>114</v>
      </c>
      <c r="F33" s="8" t="s">
        <v>39</v>
      </c>
      <c r="G33" s="5">
        <f t="shared" ref="G33:G49" si="124">IF(B33="", 0, IF(B33&gt;D33, 3, IF(B33=D33, 1, 0)))</f>
        <v>1</v>
      </c>
      <c r="H33">
        <f t="shared" ref="H33:H49" si="125">IF(D33="", 0, IF(D33&gt;B33, 3, IF(D33=B33, 1, 0)))</f>
        <v>1</v>
      </c>
      <c r="J33" s="49" t="s">
        <v>114</v>
      </c>
      <c r="K33" s="100">
        <v>0</v>
      </c>
      <c r="L33" s="103" t="s">
        <v>12</v>
      </c>
      <c r="M33" s="100">
        <v>1</v>
      </c>
      <c r="N33" s="39" t="s">
        <v>101</v>
      </c>
      <c r="O33" s="8" t="s">
        <v>39</v>
      </c>
      <c r="P33" s="4">
        <f t="shared" ref="P33:P49" si="126">IF(K33="", 0, IF(K33&gt;M33, 3, IF(K33=M33, 1, 0)))</f>
        <v>0</v>
      </c>
      <c r="Q33">
        <f t="shared" ref="Q33:Q49" si="127">IF(M33="", 0, IF(M33&gt;K33, 3, IF(M33=K33, 1, 0)))</f>
        <v>3</v>
      </c>
      <c r="S33" s="64" t="s">
        <v>108</v>
      </c>
      <c r="T33" s="100">
        <v>1</v>
      </c>
      <c r="U33" s="102" t="s">
        <v>12</v>
      </c>
      <c r="V33" s="100">
        <v>1</v>
      </c>
      <c r="W33" s="35" t="s">
        <v>92</v>
      </c>
      <c r="X33" s="8" t="s">
        <v>83</v>
      </c>
      <c r="Y33">
        <f t="shared" ref="Y33:Y49" si="128">IF(T33="", 0, IF(T33&gt;V33, 3, IF(T33=V33, 1, 0)))</f>
        <v>1</v>
      </c>
      <c r="Z33">
        <f t="shared" ref="Z33:Z49" si="129">IF(V33="", 0, IF(V33&gt;T33, 3, IF(V33=T33, 1, 0)))</f>
        <v>1</v>
      </c>
      <c r="AB33" s="57">
        <v>2</v>
      </c>
      <c r="AC33" s="38" t="str">
        <f t="shared" ref="AC33:AC35" si="130">INDEX($AO$92:$AO$95, MATCH(LARGE($AS$92:$AS$95, AB33), $AS$92:$AS$95, 0))</f>
        <v>Portugal</v>
      </c>
      <c r="AD33" s="112">
        <f t="shared" ref="AD33:AD35" si="131">VLOOKUP(AC33, $AO$92:$AR$95, 2, 0)</f>
        <v>7</v>
      </c>
      <c r="AE33" s="112">
        <f t="shared" ref="AE33:AE35" si="132">VLOOKUP(AC33, $AO$92:$AR$95, 3, 0)</f>
        <v>7</v>
      </c>
      <c r="AF33" s="112">
        <f t="shared" ref="AF33:AF35" si="133">VLOOKUP(AC33, $AO$92:$AR$95, 4, 0)</f>
        <v>7</v>
      </c>
      <c r="AG33" s="100"/>
      <c r="AH33" s="60">
        <v>2</v>
      </c>
      <c r="AI33" s="34" t="str">
        <f t="shared" ref="AI33:AI35" si="134">INDEX($AU$92:$AU$95, MATCH(LARGE($AY$92:$AY$95, AH33), $AY$92:$AY$95, 0))</f>
        <v>Croácia</v>
      </c>
      <c r="AJ33" s="104">
        <f t="shared" ref="AJ33:AJ35" si="135">VLOOKUP(AI33, $AU$92:$AX$95, 2, 0)</f>
        <v>7</v>
      </c>
      <c r="AK33" s="104">
        <f t="shared" ref="AK33:AK35" si="136">VLOOKUP(AI33, $AU$92:$AX$95, 3, 0)</f>
        <v>8</v>
      </c>
      <c r="AL33" s="104">
        <f t="shared" ref="AL33:AL35" si="137">VLOOKUP(AI33, $AU$92:$AX$95, 4, 0)</f>
        <v>8</v>
      </c>
      <c r="AM33" s="100"/>
      <c r="AP33" s="100"/>
      <c r="AQ33" s="100"/>
      <c r="AR33" s="100"/>
      <c r="AS33" s="100"/>
      <c r="AV33" s="100"/>
      <c r="AW33" s="100"/>
      <c r="AX33" s="100"/>
    </row>
    <row r="34" spans="1:50">
      <c r="A34" s="120" t="s">
        <v>115</v>
      </c>
      <c r="B34" s="120"/>
      <c r="C34" s="120"/>
      <c r="D34" s="120"/>
      <c r="E34" s="120"/>
      <c r="F34" s="10">
        <v>46189</v>
      </c>
      <c r="G34" s="3"/>
      <c r="J34" s="130" t="s">
        <v>116</v>
      </c>
      <c r="K34" s="130"/>
      <c r="L34" s="130"/>
      <c r="M34" s="130"/>
      <c r="N34" s="130"/>
      <c r="O34" s="10">
        <v>46195</v>
      </c>
      <c r="P34" s="3"/>
      <c r="S34" s="128" t="s">
        <v>117</v>
      </c>
      <c r="T34" s="128"/>
      <c r="U34" s="128"/>
      <c r="V34" s="128"/>
      <c r="W34" s="128"/>
      <c r="X34" s="10">
        <v>46200</v>
      </c>
      <c r="AB34" s="57">
        <v>3</v>
      </c>
      <c r="AC34" s="38" t="str">
        <f t="shared" si="130"/>
        <v>Uzbequistão</v>
      </c>
      <c r="AD34" s="112">
        <f t="shared" si="131"/>
        <v>1</v>
      </c>
      <c r="AE34" s="112">
        <f t="shared" si="132"/>
        <v>-8</v>
      </c>
      <c r="AF34" s="112">
        <f t="shared" si="133"/>
        <v>2</v>
      </c>
      <c r="AG34" s="100"/>
      <c r="AH34" s="60">
        <v>3</v>
      </c>
      <c r="AI34" s="34" t="str">
        <f t="shared" si="134"/>
        <v>Gana</v>
      </c>
      <c r="AJ34" s="104">
        <f t="shared" si="135"/>
        <v>3</v>
      </c>
      <c r="AK34" s="104">
        <f t="shared" si="136"/>
        <v>-8</v>
      </c>
      <c r="AL34" s="104">
        <f t="shared" si="137"/>
        <v>3</v>
      </c>
      <c r="AM34" s="100"/>
      <c r="AP34" s="100"/>
      <c r="AQ34" s="100"/>
      <c r="AR34" s="100"/>
      <c r="AS34" s="100"/>
      <c r="AV34" s="100"/>
      <c r="AW34" s="100"/>
      <c r="AX34" s="100"/>
    </row>
    <row r="35" spans="1:50">
      <c r="A35" s="52" t="s">
        <v>96</v>
      </c>
      <c r="B35" s="100">
        <v>3</v>
      </c>
      <c r="C35" s="113" t="s">
        <v>12</v>
      </c>
      <c r="D35" s="100">
        <v>1</v>
      </c>
      <c r="E35" s="37" t="s">
        <v>103</v>
      </c>
      <c r="F35" s="8" t="s">
        <v>14</v>
      </c>
      <c r="G35" s="5">
        <f t="shared" ref="G35:G49" si="138">IF(B35="", 0, IF(B35&gt;D35, 3, IF(B35=D35, 1, 0)))</f>
        <v>3</v>
      </c>
      <c r="H35">
        <f t="shared" ref="H35:H49" si="139">IF(D35="", 0, IF(D35&gt;B35, 3, IF(D35=B35, 1, 0)))</f>
        <v>0</v>
      </c>
      <c r="J35" s="61" t="s">
        <v>118</v>
      </c>
      <c r="K35" s="100">
        <v>3</v>
      </c>
      <c r="L35" s="111" t="s">
        <v>12</v>
      </c>
      <c r="M35" s="100">
        <v>1</v>
      </c>
      <c r="N35" s="36" t="s">
        <v>119</v>
      </c>
      <c r="O35" s="8" t="s">
        <v>69</v>
      </c>
      <c r="P35" s="4">
        <f t="shared" ref="P35:P49" si="140">IF(K35="", 0, IF(K35&gt;M35, 3, IF(K35=M35, 1, 0)))</f>
        <v>3</v>
      </c>
      <c r="Q35">
        <f t="shared" ref="Q35:Q49" si="141">IF(M35="", 0, IF(M35&gt;K35, 3, IF(M35=K35, 1, 0)))</f>
        <v>0</v>
      </c>
      <c r="S35" s="49" t="s">
        <v>114</v>
      </c>
      <c r="T35" s="100">
        <v>0</v>
      </c>
      <c r="U35" s="103" t="s">
        <v>12</v>
      </c>
      <c r="V35" s="100">
        <v>3</v>
      </c>
      <c r="W35" s="39" t="s">
        <v>100</v>
      </c>
      <c r="X35" s="8" t="s">
        <v>63</v>
      </c>
      <c r="Y35">
        <f t="shared" ref="Y35:Y49" si="142">IF(T35="", 0, IF(T35&gt;V35, 3, IF(T35=V35, 1, 0)))</f>
        <v>0</v>
      </c>
      <c r="Z35">
        <f t="shared" ref="Z35:Z49" si="143">IF(V35="", 0, IF(V35&gt;T35, 3, IF(V35=T35, 1, 0)))</f>
        <v>3</v>
      </c>
      <c r="AB35" s="57">
        <v>4</v>
      </c>
      <c r="AC35" s="38" t="str">
        <f t="shared" si="130"/>
        <v>RD Congo</v>
      </c>
      <c r="AD35" s="112">
        <f t="shared" si="131"/>
        <v>1</v>
      </c>
      <c r="AE35" s="112">
        <f t="shared" si="132"/>
        <v>-9</v>
      </c>
      <c r="AF35" s="112">
        <f t="shared" si="133"/>
        <v>2</v>
      </c>
      <c r="AG35" s="100"/>
      <c r="AH35" s="60">
        <v>4</v>
      </c>
      <c r="AI35" s="34" t="str">
        <f t="shared" si="134"/>
        <v>Panamá</v>
      </c>
      <c r="AJ35" s="104">
        <f t="shared" si="135"/>
        <v>0</v>
      </c>
      <c r="AK35" s="104">
        <f t="shared" si="136"/>
        <v>-9</v>
      </c>
      <c r="AL35" s="104">
        <f t="shared" si="137"/>
        <v>2</v>
      </c>
      <c r="AM35" s="100"/>
      <c r="AP35" s="100"/>
      <c r="AQ35" s="100"/>
      <c r="AR35" s="100"/>
      <c r="AS35" s="100"/>
      <c r="AV35" s="100"/>
      <c r="AW35" s="100"/>
      <c r="AX35" s="100"/>
    </row>
    <row r="36" spans="1:50">
      <c r="A36" s="120" t="s">
        <v>120</v>
      </c>
      <c r="B36" s="120"/>
      <c r="C36" s="120"/>
      <c r="D36" s="120"/>
      <c r="E36" s="120"/>
      <c r="F36" s="10">
        <v>46189</v>
      </c>
      <c r="G36" s="3"/>
      <c r="J36" s="120" t="s">
        <v>121</v>
      </c>
      <c r="K36" s="120"/>
      <c r="L36" s="120"/>
      <c r="M36" s="120"/>
      <c r="N36" s="120"/>
      <c r="O36" s="10">
        <v>46195</v>
      </c>
      <c r="P36" s="3"/>
      <c r="S36" s="128" t="s">
        <v>122</v>
      </c>
      <c r="T36" s="128"/>
      <c r="U36" s="128"/>
      <c r="V36" s="128"/>
      <c r="W36" s="128"/>
      <c r="X36" s="10">
        <v>46200</v>
      </c>
      <c r="AD36" s="100"/>
      <c r="AE36" s="100"/>
      <c r="AF36" s="100"/>
      <c r="AJ36" s="100"/>
      <c r="AK36" s="100"/>
      <c r="AL36" s="100"/>
      <c r="AM36" s="100"/>
      <c r="AP36" s="100"/>
      <c r="AQ36" s="100"/>
      <c r="AR36" s="100"/>
      <c r="AS36" s="100"/>
      <c r="AV36" s="100"/>
      <c r="AW36" s="100"/>
      <c r="AX36" s="100"/>
    </row>
    <row r="37" spans="1:50">
      <c r="A37" s="52" t="s">
        <v>104</v>
      </c>
      <c r="B37" s="100">
        <v>0</v>
      </c>
      <c r="C37" s="113" t="s">
        <v>12</v>
      </c>
      <c r="D37" s="100">
        <v>3</v>
      </c>
      <c r="E37" s="37" t="s">
        <v>95</v>
      </c>
      <c r="F37" s="8" t="s">
        <v>29</v>
      </c>
      <c r="G37" s="5">
        <f t="shared" ref="G37:G49" si="144">IF(B37="", 0, IF(B37&gt;D37, 3, IF(B37=D37, 1, 0)))</f>
        <v>0</v>
      </c>
      <c r="H37">
        <f t="shared" ref="H37:H49" si="145">IF(D37="", 0, IF(D37&gt;B37, 3, IF(D37=B37, 1, 0)))</f>
        <v>3</v>
      </c>
      <c r="J37" s="52" t="s">
        <v>96</v>
      </c>
      <c r="K37" s="100">
        <v>4</v>
      </c>
      <c r="L37" s="113" t="s">
        <v>12</v>
      </c>
      <c r="M37" s="100">
        <v>0</v>
      </c>
      <c r="N37" s="37" t="s">
        <v>104</v>
      </c>
      <c r="O37" s="8" t="s">
        <v>123</v>
      </c>
      <c r="P37" s="4">
        <f t="shared" ref="P37:P49" si="146">IF(K37="", 0, IF(K37&gt;M37, 3, IF(K37=M37, 1, 0)))</f>
        <v>3</v>
      </c>
      <c r="Q37">
        <f t="shared" ref="Q37:Q49" si="147">IF(M37="", 0, IF(M37&gt;K37, 3, IF(M37=K37, 1, 0)))</f>
        <v>0</v>
      </c>
      <c r="S37" s="49" t="s">
        <v>101</v>
      </c>
      <c r="T37" s="100">
        <v>1</v>
      </c>
      <c r="U37" s="103" t="s">
        <v>12</v>
      </c>
      <c r="V37" s="100">
        <v>0</v>
      </c>
      <c r="W37" s="39" t="s">
        <v>102</v>
      </c>
      <c r="X37" s="8" t="s">
        <v>63</v>
      </c>
      <c r="Y37">
        <f t="shared" ref="Y37:Y49" si="148">IF(T37="", 0, IF(T37&gt;V37, 3, IF(T37=V37, 1, 0)))</f>
        <v>3</v>
      </c>
      <c r="Z37">
        <f t="shared" ref="Z37:Z49" si="149">IF(V37="", 0, IF(V37&gt;T37, 3, IF(V37=T37, 1, 0)))</f>
        <v>0</v>
      </c>
      <c r="AB37" s="77"/>
      <c r="AC37" s="101" t="s">
        <v>124</v>
      </c>
      <c r="AD37" s="101" t="s">
        <v>4</v>
      </c>
      <c r="AE37" s="101" t="s">
        <v>5</v>
      </c>
      <c r="AF37" s="101" t="s">
        <v>6</v>
      </c>
      <c r="AG37" s="1"/>
      <c r="AJ37" s="100"/>
      <c r="AK37" s="100"/>
      <c r="AL37" s="100"/>
      <c r="AM37" s="100"/>
      <c r="AP37" s="100"/>
      <c r="AQ37" s="100"/>
      <c r="AR37" s="100"/>
      <c r="AS37" s="100"/>
      <c r="AV37" s="100"/>
      <c r="AW37" s="100"/>
      <c r="AX37" s="100"/>
    </row>
    <row r="38" spans="1:50">
      <c r="A38" s="130" t="s">
        <v>125</v>
      </c>
      <c r="B38" s="130"/>
      <c r="C38" s="130"/>
      <c r="D38" s="130"/>
      <c r="E38" s="130"/>
      <c r="F38" s="10">
        <v>46189</v>
      </c>
      <c r="G38" s="3"/>
      <c r="J38" s="120" t="s">
        <v>126</v>
      </c>
      <c r="K38" s="120"/>
      <c r="L38" s="120"/>
      <c r="M38" s="120"/>
      <c r="N38" s="120"/>
      <c r="O38" s="10">
        <v>46195</v>
      </c>
      <c r="P38" s="3"/>
      <c r="S38" s="133" t="s">
        <v>127</v>
      </c>
      <c r="T38" s="133"/>
      <c r="U38" s="133"/>
      <c r="V38" s="133"/>
      <c r="W38" s="133"/>
      <c r="X38" s="10">
        <v>46200</v>
      </c>
      <c r="AB38" s="41">
        <v>1</v>
      </c>
      <c r="AC38" s="76" t="str">
        <f>INDEX($BC$80:$BC$91, MATCH(LARGE($BG$80:$BG$91, AB38), $BG$80:$BG$91, 0))</f>
        <v>Arábia Saudita</v>
      </c>
      <c r="AD38" s="105">
        <f>VLOOKUP(AC38, $BC$80:$BH$91, 2, 0)</f>
        <v>4</v>
      </c>
      <c r="AE38" s="105">
        <f>VLOOKUP(AC38, $BC$80:$BH$91, 3, 0)</f>
        <v>2</v>
      </c>
      <c r="AF38" s="105">
        <f>VLOOKUP(AC38, $BC$80:$BH$91, 4, 0)</f>
        <v>5</v>
      </c>
      <c r="AG38" s="12" t="str">
        <f>VLOOKUP(AC38, $BC$80:$BH$91, 6, 0)</f>
        <v>H</v>
      </c>
      <c r="AJ38" s="100"/>
      <c r="AK38" s="100"/>
      <c r="AL38" s="100"/>
      <c r="AM38" s="100"/>
      <c r="AP38" s="100"/>
      <c r="AQ38" s="100"/>
      <c r="AR38" s="100"/>
      <c r="AS38" s="100"/>
      <c r="AV38" s="100"/>
      <c r="AW38" s="100"/>
      <c r="AX38" s="100"/>
    </row>
    <row r="39" spans="1:50">
      <c r="A39" s="61" t="s">
        <v>118</v>
      </c>
      <c r="B39" s="100">
        <v>2</v>
      </c>
      <c r="C39" s="111" t="s">
        <v>12</v>
      </c>
      <c r="D39" s="100">
        <v>0</v>
      </c>
      <c r="E39" s="36" t="s">
        <v>128</v>
      </c>
      <c r="F39" s="8" t="s">
        <v>39</v>
      </c>
      <c r="G39" s="5">
        <f t="shared" ref="G39:G49" si="150">IF(B39="", 0, IF(B39&gt;D39, 3, IF(B39=D39, 1, 0)))</f>
        <v>3</v>
      </c>
      <c r="H39">
        <f t="shared" ref="H39:H49" si="151">IF(D39="", 0, IF(D39&gt;B39, 3, IF(D39=B39, 1, 0)))</f>
        <v>0</v>
      </c>
      <c r="J39" s="52" t="s">
        <v>95</v>
      </c>
      <c r="K39" s="100">
        <v>2</v>
      </c>
      <c r="L39" s="113" t="s">
        <v>12</v>
      </c>
      <c r="M39" s="100">
        <v>2</v>
      </c>
      <c r="N39" s="37" t="s">
        <v>103</v>
      </c>
      <c r="O39" s="8" t="s">
        <v>83</v>
      </c>
      <c r="P39" s="4">
        <f t="shared" ref="P39:P49" si="152">IF(K39="", 0, IF(K39&gt;M39, 3, IF(K39=M39, 1, 0)))</f>
        <v>1</v>
      </c>
      <c r="Q39">
        <f t="shared" ref="Q39:Q49" si="153">IF(M39="", 0, IF(M39&gt;K39, 3, IF(M39=K39, 1, 0)))</f>
        <v>1</v>
      </c>
      <c r="S39" s="60" t="s">
        <v>129</v>
      </c>
      <c r="T39" s="100">
        <v>0</v>
      </c>
      <c r="U39" s="104" t="s">
        <v>12</v>
      </c>
      <c r="V39" s="100">
        <v>4</v>
      </c>
      <c r="W39" s="34" t="s">
        <v>130</v>
      </c>
      <c r="X39" s="8" t="s">
        <v>123</v>
      </c>
      <c r="Y39">
        <f t="shared" ref="Y39:Y49" si="154">IF(T39="", 0, IF(T39&gt;V39, 3, IF(T39=V39, 1, 0)))</f>
        <v>0</v>
      </c>
      <c r="Z39">
        <f t="shared" ref="Z39:Z49" si="155">IF(V39="", 0, IF(V39&gt;T39, 3, IF(V39=T39, 1, 0)))</f>
        <v>3</v>
      </c>
      <c r="AB39" s="41">
        <v>2</v>
      </c>
      <c r="AC39" s="76" t="str">
        <f t="shared" ref="AC39:AC49" si="156">INDEX($BC$80:$BC$91, MATCH(LARGE($BG$80:$BG$91, AB39), $BG$80:$BG$91, 0))</f>
        <v>Suécia</v>
      </c>
      <c r="AD39" s="105">
        <f t="shared" ref="AD39:AD49" si="157">VLOOKUP(AC39, $BC$80:$BH$91, 2, 0)</f>
        <v>4</v>
      </c>
      <c r="AE39" s="105">
        <f t="shared" ref="AE39:AE49" si="158">VLOOKUP(AC39, $BC$80:$BH$91, 3, 0)</f>
        <v>-1</v>
      </c>
      <c r="AF39" s="105">
        <f t="shared" ref="AF39:AF49" si="159">VLOOKUP(AC39, $BC$80:$BH$91, 4, 0)</f>
        <v>4</v>
      </c>
      <c r="AG39" s="12" t="str">
        <f t="shared" ref="AG39:AG49" si="160">VLOOKUP(AC39, $BC$80:$BH$91, 6, 0)</f>
        <v>F</v>
      </c>
      <c r="AJ39" s="100"/>
      <c r="AK39" s="100"/>
      <c r="AL39" s="100"/>
      <c r="AM39" s="100"/>
      <c r="AP39" s="100"/>
      <c r="AQ39" s="100"/>
      <c r="AR39" s="100"/>
      <c r="AS39" s="100"/>
      <c r="AV39" s="100"/>
      <c r="AW39" s="100"/>
      <c r="AX39" s="100"/>
    </row>
    <row r="40" spans="1:50">
      <c r="A40" s="130" t="s">
        <v>131</v>
      </c>
      <c r="B40" s="130"/>
      <c r="C40" s="130"/>
      <c r="D40" s="130"/>
      <c r="E40" s="130"/>
      <c r="F40" s="10">
        <v>46190</v>
      </c>
      <c r="G40" s="3"/>
      <c r="J40" s="130" t="s">
        <v>132</v>
      </c>
      <c r="K40" s="130"/>
      <c r="L40" s="130"/>
      <c r="M40" s="130"/>
      <c r="N40" s="130"/>
      <c r="O40" s="10">
        <v>46196</v>
      </c>
      <c r="P40" s="3"/>
      <c r="S40" s="133" t="s">
        <v>133</v>
      </c>
      <c r="T40" s="133"/>
      <c r="U40" s="133"/>
      <c r="V40" s="133"/>
      <c r="W40" s="133"/>
      <c r="X40" s="10">
        <v>46200</v>
      </c>
      <c r="AB40" s="41">
        <v>3</v>
      </c>
      <c r="AC40" s="76" t="str">
        <f t="shared" si="156"/>
        <v>Senegal</v>
      </c>
      <c r="AD40" s="105">
        <f t="shared" si="157"/>
        <v>4</v>
      </c>
      <c r="AE40" s="105">
        <f t="shared" si="158"/>
        <v>-1</v>
      </c>
      <c r="AF40" s="105">
        <f t="shared" si="159"/>
        <v>4</v>
      </c>
      <c r="AG40" s="12" t="str">
        <f t="shared" si="160"/>
        <v>I</v>
      </c>
      <c r="AJ40" s="100"/>
      <c r="AK40" s="100"/>
      <c r="AL40" s="100"/>
      <c r="AM40" s="100"/>
      <c r="AP40" s="100"/>
      <c r="AQ40" s="100"/>
      <c r="AR40" s="100"/>
      <c r="AS40" s="100"/>
      <c r="AV40" s="100"/>
      <c r="AW40" s="100"/>
      <c r="AX40" s="100"/>
    </row>
    <row r="41" spans="1:50">
      <c r="A41" s="61" t="s">
        <v>119</v>
      </c>
      <c r="B41" s="100">
        <v>2</v>
      </c>
      <c r="C41" s="111" t="s">
        <v>12</v>
      </c>
      <c r="D41" s="100">
        <v>2</v>
      </c>
      <c r="E41" s="36" t="s">
        <v>134</v>
      </c>
      <c r="F41" s="8" t="s">
        <v>62</v>
      </c>
      <c r="G41" s="5">
        <f t="shared" ref="G41:G49" si="161">IF(B41="", 0, IF(B41&gt;D41, 3, IF(B41=D41, 1, 0)))</f>
        <v>1</v>
      </c>
      <c r="H41">
        <f t="shared" ref="H41:H49" si="162">IF(D41="", 0, IF(D41&gt;B41, 3, IF(D41=B41, 1, 0)))</f>
        <v>1</v>
      </c>
      <c r="J41" s="61" t="s">
        <v>134</v>
      </c>
      <c r="K41" s="100">
        <v>1</v>
      </c>
      <c r="L41" s="111" t="s">
        <v>12</v>
      </c>
      <c r="M41" s="100">
        <v>2</v>
      </c>
      <c r="N41" s="36" t="s">
        <v>128</v>
      </c>
      <c r="O41" s="8" t="s">
        <v>63</v>
      </c>
      <c r="P41" s="4">
        <f t="shared" ref="P41:P49" si="163">IF(K41="", 0, IF(K41&gt;M41, 3, IF(K41=M41, 1, 0)))</f>
        <v>0</v>
      </c>
      <c r="Q41">
        <f t="shared" ref="Q41:Q49" si="164">IF(M41="", 0, IF(M41&gt;K41, 3, IF(M41=K41, 1, 0)))</f>
        <v>3</v>
      </c>
      <c r="S41" s="60" t="s">
        <v>135</v>
      </c>
      <c r="T41" s="100">
        <v>4</v>
      </c>
      <c r="U41" s="104" t="s">
        <v>12</v>
      </c>
      <c r="V41" s="100">
        <v>0</v>
      </c>
      <c r="W41" s="34" t="s">
        <v>136</v>
      </c>
      <c r="X41" s="8" t="s">
        <v>123</v>
      </c>
      <c r="Y41">
        <f t="shared" ref="Y41:Y49" si="165">IF(T41="", 0, IF(T41&gt;V41, 3, IF(T41=V41, 1, 0)))</f>
        <v>3</v>
      </c>
      <c r="Z41">
        <f t="shared" ref="Z41:Z49" si="166">IF(V41="", 0, IF(V41&gt;T41, 3, IF(V41=T41, 1, 0)))</f>
        <v>0</v>
      </c>
      <c r="AB41" s="41">
        <v>4</v>
      </c>
      <c r="AC41" s="76" t="str">
        <f t="shared" si="156"/>
        <v>Canadá</v>
      </c>
      <c r="AD41" s="105">
        <f t="shared" si="157"/>
        <v>4</v>
      </c>
      <c r="AE41" s="105">
        <f t="shared" si="158"/>
        <v>-1</v>
      </c>
      <c r="AF41" s="105">
        <f t="shared" si="159"/>
        <v>3</v>
      </c>
      <c r="AG41" s="12" t="str">
        <f t="shared" si="160"/>
        <v>B</v>
      </c>
      <c r="AJ41" s="100"/>
      <c r="AK41" s="100"/>
      <c r="AL41" s="100"/>
      <c r="AM41" s="100"/>
      <c r="AP41" s="100"/>
      <c r="AQ41" s="100"/>
      <c r="AR41" s="100"/>
      <c r="AS41" s="100"/>
      <c r="AV41" s="100"/>
      <c r="AW41" s="100"/>
      <c r="AX41" s="100"/>
    </row>
    <row r="42" spans="1:50">
      <c r="A42" s="129" t="s">
        <v>137</v>
      </c>
      <c r="B42" s="129"/>
      <c r="C42" s="129"/>
      <c r="D42" s="129"/>
      <c r="E42" s="129"/>
      <c r="F42" s="10">
        <v>46190</v>
      </c>
      <c r="G42" s="3"/>
      <c r="J42" s="129" t="s">
        <v>138</v>
      </c>
      <c r="K42" s="129"/>
      <c r="L42" s="129"/>
      <c r="M42" s="129"/>
      <c r="N42" s="129"/>
      <c r="O42" s="10">
        <v>46196</v>
      </c>
      <c r="P42" s="3"/>
      <c r="S42" s="129" t="s">
        <v>139</v>
      </c>
      <c r="T42" s="129"/>
      <c r="U42" s="129"/>
      <c r="V42" s="129"/>
      <c r="W42" s="129"/>
      <c r="X42" s="10">
        <v>46200</v>
      </c>
      <c r="AB42" s="41">
        <v>5</v>
      </c>
      <c r="AC42" s="76" t="str">
        <f t="shared" si="156"/>
        <v>Escócia</v>
      </c>
      <c r="AD42" s="105">
        <f t="shared" si="157"/>
        <v>3</v>
      </c>
      <c r="AE42" s="105">
        <f t="shared" si="158"/>
        <v>0</v>
      </c>
      <c r="AF42" s="105">
        <f t="shared" si="159"/>
        <v>5</v>
      </c>
      <c r="AG42" s="12" t="str">
        <f t="shared" si="160"/>
        <v>C</v>
      </c>
      <c r="AJ42" s="100"/>
      <c r="AK42" s="100"/>
      <c r="AL42" s="100"/>
      <c r="AM42" s="100"/>
      <c r="AP42" s="100"/>
      <c r="AQ42" s="100"/>
      <c r="AR42" s="100"/>
      <c r="AS42" s="100"/>
      <c r="AV42" s="100"/>
      <c r="AW42" s="100"/>
      <c r="AX42" s="100"/>
    </row>
    <row r="43" spans="1:50">
      <c r="A43" s="57" t="s">
        <v>140</v>
      </c>
      <c r="B43" s="100">
        <v>4</v>
      </c>
      <c r="C43" s="112" t="s">
        <v>12</v>
      </c>
      <c r="D43" s="100">
        <v>0</v>
      </c>
      <c r="E43" s="38" t="s">
        <v>141</v>
      </c>
      <c r="F43" s="8" t="s">
        <v>69</v>
      </c>
      <c r="G43" s="5">
        <f t="shared" ref="G43:G49" si="167">IF(B43="", 0, IF(B43&gt;D43, 3, IF(B43=D43, 1, 0)))</f>
        <v>3</v>
      </c>
      <c r="H43">
        <f t="shared" ref="H43:H49" si="168">IF(D43="", 0, IF(D43&gt;B43, 3, IF(D43=B43, 1, 0)))</f>
        <v>0</v>
      </c>
      <c r="J43" s="57" t="s">
        <v>140</v>
      </c>
      <c r="K43" s="100">
        <v>3</v>
      </c>
      <c r="L43" s="112" t="s">
        <v>12</v>
      </c>
      <c r="M43" s="100">
        <v>0</v>
      </c>
      <c r="N43" s="38" t="s">
        <v>142</v>
      </c>
      <c r="O43" s="8" t="s">
        <v>69</v>
      </c>
      <c r="P43" s="4">
        <f t="shared" ref="P43:P49" si="169">IF(K43="", 0, IF(K43&gt;M43, 3, IF(K43=M43, 1, 0)))</f>
        <v>3</v>
      </c>
      <c r="Q43">
        <f t="shared" ref="Q43:Q49" si="170">IF(M43="", 0, IF(M43&gt;K43, 3, IF(M43=K43, 1, 0)))</f>
        <v>0</v>
      </c>
      <c r="S43" s="57" t="s">
        <v>143</v>
      </c>
      <c r="T43" s="100">
        <v>0</v>
      </c>
      <c r="U43" s="112" t="s">
        <v>12</v>
      </c>
      <c r="V43" s="100">
        <v>0</v>
      </c>
      <c r="W43" s="38" t="s">
        <v>140</v>
      </c>
      <c r="X43" s="8" t="s">
        <v>144</v>
      </c>
      <c r="Y43">
        <f t="shared" ref="Y43:Y49" si="171">IF(T43="", 0, IF(T43&gt;V43, 3, IF(T43=V43, 1, 0)))</f>
        <v>1</v>
      </c>
      <c r="Z43">
        <f t="shared" ref="Z43:Z49" si="172">IF(V43="", 0, IF(V43&gt;T43, 3, IF(V43=T43, 1, 0)))</f>
        <v>1</v>
      </c>
      <c r="AB43" s="41">
        <v>6</v>
      </c>
      <c r="AC43" s="76" t="str">
        <f t="shared" si="156"/>
        <v>Costa do Marfim</v>
      </c>
      <c r="AD43" s="105">
        <f t="shared" si="157"/>
        <v>3</v>
      </c>
      <c r="AE43" s="105">
        <f t="shared" si="158"/>
        <v>-1</v>
      </c>
      <c r="AF43" s="105">
        <f t="shared" si="159"/>
        <v>4</v>
      </c>
      <c r="AG43" s="12" t="str">
        <f t="shared" si="160"/>
        <v>E</v>
      </c>
      <c r="AJ43" s="100"/>
      <c r="AK43" s="100"/>
      <c r="AL43" s="100"/>
      <c r="AM43" s="100"/>
      <c r="AP43" s="100"/>
      <c r="AQ43" s="100"/>
      <c r="AR43" s="100"/>
      <c r="AS43" s="100"/>
      <c r="AV43" s="100"/>
      <c r="AW43" s="100"/>
      <c r="AX43" s="100"/>
    </row>
    <row r="44" spans="1:50">
      <c r="A44" s="133" t="s">
        <v>145</v>
      </c>
      <c r="B44" s="133"/>
      <c r="C44" s="133"/>
      <c r="D44" s="133"/>
      <c r="E44" s="133"/>
      <c r="F44" s="10">
        <v>46190</v>
      </c>
      <c r="G44" s="3"/>
      <c r="J44" s="133" t="s">
        <v>146</v>
      </c>
      <c r="K44" s="133"/>
      <c r="L44" s="133"/>
      <c r="M44" s="133"/>
      <c r="N44" s="133"/>
      <c r="O44" s="10">
        <v>46196</v>
      </c>
      <c r="P44" s="3"/>
      <c r="S44" s="129" t="s">
        <v>147</v>
      </c>
      <c r="T44" s="129"/>
      <c r="U44" s="129"/>
      <c r="V44" s="129"/>
      <c r="W44" s="129"/>
      <c r="X44" s="10">
        <v>46200</v>
      </c>
      <c r="AB44" s="41">
        <v>7</v>
      </c>
      <c r="AC44" s="76" t="str">
        <f t="shared" si="156"/>
        <v>Gana</v>
      </c>
      <c r="AD44" s="105">
        <f t="shared" si="157"/>
        <v>3</v>
      </c>
      <c r="AE44" s="105">
        <f t="shared" si="158"/>
        <v>-8</v>
      </c>
      <c r="AF44" s="105">
        <f t="shared" si="159"/>
        <v>3</v>
      </c>
      <c r="AG44" s="12" t="str">
        <f t="shared" si="160"/>
        <v>L</v>
      </c>
      <c r="AJ44" s="100"/>
      <c r="AK44" s="100"/>
      <c r="AL44" s="100"/>
      <c r="AM44" s="100"/>
      <c r="AP44" s="100"/>
      <c r="AQ44" s="100"/>
      <c r="AR44" s="100"/>
      <c r="AS44" s="100"/>
      <c r="AV44" s="100"/>
      <c r="AW44" s="100"/>
      <c r="AX44" s="100"/>
    </row>
    <row r="45" spans="1:50">
      <c r="A45" s="60" t="s">
        <v>130</v>
      </c>
      <c r="B45" s="100">
        <v>0</v>
      </c>
      <c r="C45" s="104" t="s">
        <v>12</v>
      </c>
      <c r="D45" s="100">
        <v>0</v>
      </c>
      <c r="E45" s="34" t="s">
        <v>135</v>
      </c>
      <c r="F45" s="8" t="s">
        <v>57</v>
      </c>
      <c r="G45" s="5">
        <f t="shared" ref="G45:G49" si="173">IF(B45="", 0, IF(B45&gt;D45, 3, IF(B45=D45, 1, 0)))</f>
        <v>1</v>
      </c>
      <c r="H45">
        <f t="shared" ref="H45:H49" si="174">IF(D45="", 0, IF(D45&gt;B45, 3, IF(D45=B45, 1, 0)))</f>
        <v>1</v>
      </c>
      <c r="J45" s="60" t="s">
        <v>130</v>
      </c>
      <c r="K45" s="100">
        <v>5</v>
      </c>
      <c r="L45" s="104" t="s">
        <v>12</v>
      </c>
      <c r="M45" s="100">
        <v>0</v>
      </c>
      <c r="N45" s="34" t="s">
        <v>136</v>
      </c>
      <c r="O45" s="8" t="s">
        <v>57</v>
      </c>
      <c r="P45" s="4">
        <f t="shared" ref="P45:P49" si="175">IF(K45="", 0, IF(K45&gt;M45, 3, IF(K45=M45, 1, 0)))</f>
        <v>3</v>
      </c>
      <c r="Q45">
        <f t="shared" ref="Q45:Q49" si="176">IF(M45="", 0, IF(M45&gt;K45, 3, IF(M45=K45, 1, 0)))</f>
        <v>0</v>
      </c>
      <c r="S45" s="57" t="s">
        <v>141</v>
      </c>
      <c r="T45" s="100">
        <v>2</v>
      </c>
      <c r="U45" s="112" t="s">
        <v>12</v>
      </c>
      <c r="V45" s="100">
        <v>2</v>
      </c>
      <c r="W45" s="38" t="s">
        <v>142</v>
      </c>
      <c r="X45" s="8" t="s">
        <v>144</v>
      </c>
      <c r="Y45">
        <f t="shared" ref="Y45:Y49" si="177">IF(T45="", 0, IF(T45&gt;V45, 3, IF(T45=V45, 1, 0)))</f>
        <v>1</v>
      </c>
      <c r="Z45">
        <f t="shared" ref="Z45:Z49" si="178">IF(V45="", 0, IF(V45&gt;T45, 3, IF(V45=T45, 1, 0)))</f>
        <v>1</v>
      </c>
      <c r="AB45" s="41">
        <v>8</v>
      </c>
      <c r="AC45" s="76" t="str">
        <f t="shared" si="156"/>
        <v>Austrália</v>
      </c>
      <c r="AD45" s="105">
        <f t="shared" si="157"/>
        <v>2</v>
      </c>
      <c r="AE45" s="105">
        <f t="shared" si="158"/>
        <v>-3</v>
      </c>
      <c r="AF45" s="105">
        <f t="shared" si="159"/>
        <v>5</v>
      </c>
      <c r="AG45" s="12" t="str">
        <f t="shared" si="160"/>
        <v>D</v>
      </c>
      <c r="AJ45" s="100"/>
      <c r="AK45" s="100"/>
      <c r="AL45" s="100"/>
      <c r="AM45" s="100"/>
      <c r="AP45" s="100"/>
      <c r="AQ45" s="100"/>
      <c r="AR45" s="100"/>
      <c r="AS45" s="100"/>
      <c r="AV45" s="100"/>
      <c r="AW45" s="100"/>
      <c r="AX45" s="100"/>
    </row>
    <row r="46" spans="1:50">
      <c r="A46" s="133" t="s">
        <v>148</v>
      </c>
      <c r="B46" s="133"/>
      <c r="C46" s="133"/>
      <c r="D46" s="133"/>
      <c r="E46" s="133"/>
      <c r="F46" s="10">
        <v>46190</v>
      </c>
      <c r="G46" s="3"/>
      <c r="J46" s="133" t="s">
        <v>149</v>
      </c>
      <c r="K46" s="133"/>
      <c r="L46" s="133"/>
      <c r="M46" s="133"/>
      <c r="N46" s="133"/>
      <c r="O46" s="10">
        <v>46196</v>
      </c>
      <c r="P46" s="3"/>
      <c r="S46" s="130" t="s">
        <v>150</v>
      </c>
      <c r="T46" s="130"/>
      <c r="U46" s="130"/>
      <c r="V46" s="130"/>
      <c r="W46" s="130"/>
      <c r="X46" s="10">
        <v>46200</v>
      </c>
      <c r="AB46" s="64">
        <v>9</v>
      </c>
      <c r="AC46" s="35" t="str">
        <f t="shared" si="156"/>
        <v>Coreia do Sul</v>
      </c>
      <c r="AD46" s="102">
        <f t="shared" si="157"/>
        <v>2</v>
      </c>
      <c r="AE46" s="102">
        <f t="shared" si="158"/>
        <v>-4</v>
      </c>
      <c r="AF46" s="102">
        <f t="shared" si="159"/>
        <v>1</v>
      </c>
      <c r="AG46" s="12" t="str">
        <f t="shared" si="160"/>
        <v>A</v>
      </c>
      <c r="AJ46" s="100"/>
      <c r="AK46" s="100"/>
      <c r="AL46" s="100"/>
      <c r="AM46" s="100"/>
      <c r="AP46" s="100"/>
      <c r="AQ46" s="100"/>
      <c r="AR46" s="100"/>
      <c r="AS46" s="100"/>
      <c r="AV46" s="100"/>
      <c r="AW46" s="100"/>
      <c r="AX46" s="100"/>
    </row>
    <row r="47" spans="1:50">
      <c r="A47" s="60" t="s">
        <v>136</v>
      </c>
      <c r="B47" s="100">
        <v>3</v>
      </c>
      <c r="C47" s="104" t="s">
        <v>12</v>
      </c>
      <c r="D47" s="100">
        <v>2</v>
      </c>
      <c r="E47" s="34" t="s">
        <v>129</v>
      </c>
      <c r="F47" s="8" t="s">
        <v>73</v>
      </c>
      <c r="G47" s="5">
        <f t="shared" ref="G47:G49" si="179">IF(B47="", 0, IF(B47&gt;D47, 3, IF(B47=D47, 1, 0)))</f>
        <v>3</v>
      </c>
      <c r="H47">
        <f t="shared" ref="H47:H49" si="180">IF(D47="", 0, IF(D47&gt;B47, 3, IF(D47=B47, 1, 0)))</f>
        <v>0</v>
      </c>
      <c r="J47" s="60" t="s">
        <v>129</v>
      </c>
      <c r="K47" s="100">
        <v>0</v>
      </c>
      <c r="L47" s="104" t="s">
        <v>12</v>
      </c>
      <c r="M47" s="100">
        <v>4</v>
      </c>
      <c r="N47" s="34" t="s">
        <v>135</v>
      </c>
      <c r="O47" s="8" t="s">
        <v>73</v>
      </c>
      <c r="P47" s="4">
        <f t="shared" ref="P47:P49" si="181">IF(K47="", 0, IF(K47&gt;M47, 3, IF(K47=M47, 1, 0)))</f>
        <v>0</v>
      </c>
      <c r="Q47">
        <f t="shared" ref="Q47:Q49" si="182">IF(M47="", 0, IF(M47&gt;K47, 3, IF(M47=K47, 1, 0)))</f>
        <v>3</v>
      </c>
      <c r="S47" s="61" t="s">
        <v>128</v>
      </c>
      <c r="T47" s="100">
        <v>2</v>
      </c>
      <c r="U47" s="111" t="s">
        <v>12</v>
      </c>
      <c r="V47" s="100">
        <v>0</v>
      </c>
      <c r="W47" s="36" t="s">
        <v>119</v>
      </c>
      <c r="X47" s="8" t="s">
        <v>23</v>
      </c>
      <c r="Y47">
        <f t="shared" ref="Y47:Y49" si="183">IF(T47="", 0, IF(T47&gt;V47, 3, IF(T47=V47, 1, 0)))</f>
        <v>3</v>
      </c>
      <c r="Z47">
        <f t="shared" ref="Z47:Z49" si="184">IF(V47="", 0, IF(V47&gt;T47, 3, IF(V47=T47, 1, 0)))</f>
        <v>0</v>
      </c>
      <c r="AB47" s="64">
        <v>10</v>
      </c>
      <c r="AC47" s="35" t="str">
        <f t="shared" si="156"/>
        <v>Irã</v>
      </c>
      <c r="AD47" s="102">
        <f t="shared" si="157"/>
        <v>1</v>
      </c>
      <c r="AE47" s="102">
        <f t="shared" si="158"/>
        <v>-3</v>
      </c>
      <c r="AF47" s="102">
        <f t="shared" si="159"/>
        <v>1</v>
      </c>
      <c r="AG47" s="12" t="str">
        <f t="shared" si="160"/>
        <v>G</v>
      </c>
      <c r="AJ47" s="100"/>
      <c r="AK47" s="100"/>
      <c r="AL47" s="100"/>
      <c r="AM47" s="100"/>
      <c r="AP47" s="100"/>
      <c r="AQ47" s="100"/>
      <c r="AR47" s="100"/>
      <c r="AS47" s="100"/>
      <c r="AV47" s="100"/>
      <c r="AW47" s="100"/>
      <c r="AX47" s="100"/>
    </row>
    <row r="48" spans="1:50">
      <c r="A48" s="129" t="s">
        <v>151</v>
      </c>
      <c r="B48" s="129"/>
      <c r="C48" s="129"/>
      <c r="D48" s="129"/>
      <c r="E48" s="129"/>
      <c r="F48" s="10">
        <v>46190</v>
      </c>
      <c r="G48" s="3"/>
      <c r="J48" s="129" t="s">
        <v>152</v>
      </c>
      <c r="K48" s="129"/>
      <c r="L48" s="129"/>
      <c r="M48" s="129"/>
      <c r="N48" s="129"/>
      <c r="O48" s="10">
        <v>46196</v>
      </c>
      <c r="P48" s="3"/>
      <c r="S48" s="130" t="s">
        <v>153</v>
      </c>
      <c r="T48" s="130"/>
      <c r="U48" s="130"/>
      <c r="V48" s="130"/>
      <c r="W48" s="130"/>
      <c r="X48" s="10">
        <v>46200</v>
      </c>
      <c r="AB48" s="64">
        <v>11</v>
      </c>
      <c r="AC48" s="35" t="str">
        <f t="shared" si="156"/>
        <v>Áustria</v>
      </c>
      <c r="AD48" s="102">
        <f t="shared" si="157"/>
        <v>1</v>
      </c>
      <c r="AE48" s="102">
        <f t="shared" si="158"/>
        <v>-4</v>
      </c>
      <c r="AF48" s="102">
        <f t="shared" si="159"/>
        <v>3</v>
      </c>
      <c r="AG48" s="12" t="str">
        <f t="shared" si="160"/>
        <v>J</v>
      </c>
      <c r="AJ48" s="100"/>
      <c r="AK48" s="100"/>
      <c r="AL48" s="100"/>
      <c r="AM48" s="100"/>
      <c r="AP48" s="100"/>
      <c r="AQ48" s="100"/>
      <c r="AR48" s="100"/>
      <c r="AS48" s="100"/>
      <c r="AV48" s="100"/>
      <c r="AW48" s="100"/>
      <c r="AX48" s="100"/>
    </row>
    <row r="49" spans="1:50">
      <c r="A49" s="57" t="s">
        <v>142</v>
      </c>
      <c r="B49" s="100">
        <v>0</v>
      </c>
      <c r="C49" s="112" t="s">
        <v>12</v>
      </c>
      <c r="D49" s="100">
        <v>5</v>
      </c>
      <c r="E49" s="38" t="s">
        <v>143</v>
      </c>
      <c r="F49" s="8" t="s">
        <v>23</v>
      </c>
      <c r="G49" s="5">
        <f t="shared" ref="G49" si="185">IF(B49="", 0, IF(B49&gt;D49, 3, IF(B49=D49, 1, 0)))</f>
        <v>0</v>
      </c>
      <c r="H49">
        <f t="shared" ref="H49" si="186">IF(D49="", 0, IF(D49&gt;B49, 3, IF(D49=B49, 1, 0)))</f>
        <v>3</v>
      </c>
      <c r="J49" s="57" t="s">
        <v>143</v>
      </c>
      <c r="K49" s="100">
        <v>5</v>
      </c>
      <c r="L49" s="112" t="s">
        <v>12</v>
      </c>
      <c r="M49" s="100">
        <v>0</v>
      </c>
      <c r="N49" s="38" t="s">
        <v>141</v>
      </c>
      <c r="O49" s="8" t="s">
        <v>23</v>
      </c>
      <c r="P49" s="4">
        <f t="shared" ref="P49" si="187">IF(K49="", 0, IF(K49&gt;M49, 3, IF(K49=M49, 1, 0)))</f>
        <v>3</v>
      </c>
      <c r="Q49">
        <f t="shared" ref="Q49" si="188">IF(M49="", 0, IF(M49&gt;K49, 3, IF(M49=K49, 1, 0)))</f>
        <v>0</v>
      </c>
      <c r="S49" s="61" t="s">
        <v>134</v>
      </c>
      <c r="T49" s="100">
        <v>0</v>
      </c>
      <c r="U49" s="111" t="s">
        <v>12</v>
      </c>
      <c r="V49" s="100">
        <v>4</v>
      </c>
      <c r="W49" s="36" t="s">
        <v>118</v>
      </c>
      <c r="X49" s="8" t="s">
        <v>23</v>
      </c>
      <c r="Y49">
        <f t="shared" ref="Y49" si="189">IF(T49="", 0, IF(T49&gt;V49, 3, IF(T49=V49, 1, 0)))</f>
        <v>0</v>
      </c>
      <c r="Z49">
        <f t="shared" ref="Z49" si="190">IF(V49="", 0, IF(V49&gt;T49, 3, IF(V49=T49, 1, 0)))</f>
        <v>3</v>
      </c>
      <c r="AB49" s="64">
        <v>12</v>
      </c>
      <c r="AC49" s="35" t="str">
        <f t="shared" si="156"/>
        <v>Uzbequistão</v>
      </c>
      <c r="AD49" s="102">
        <f t="shared" si="157"/>
        <v>1</v>
      </c>
      <c r="AE49" s="102">
        <f t="shared" si="158"/>
        <v>-8</v>
      </c>
      <c r="AF49" s="102">
        <f t="shared" si="159"/>
        <v>2</v>
      </c>
      <c r="AG49" s="12" t="str">
        <f t="shared" si="160"/>
        <v>K</v>
      </c>
      <c r="AJ49" s="100"/>
      <c r="AK49" s="100"/>
      <c r="AL49" s="100"/>
      <c r="AM49" s="100"/>
      <c r="AP49" s="100"/>
      <c r="AQ49" s="100"/>
      <c r="AR49" s="100"/>
      <c r="AS49" s="100"/>
      <c r="AV49" s="100"/>
      <c r="AW49" s="100"/>
      <c r="AX49" s="100"/>
    </row>
    <row r="50" spans="1:50">
      <c r="F50" s="7"/>
      <c r="AD50" s="100"/>
      <c r="AE50" s="100"/>
      <c r="AF50" s="100"/>
      <c r="AJ50" s="100"/>
      <c r="AK50" s="100"/>
      <c r="AL50" s="100"/>
      <c r="AM50" s="100"/>
      <c r="AP50" s="100"/>
      <c r="AQ50" s="100"/>
      <c r="AR50" s="100"/>
      <c r="AS50" s="100"/>
      <c r="AV50" s="100"/>
      <c r="AW50" s="100"/>
      <c r="AX50" s="100"/>
    </row>
    <row r="51" spans="1:50">
      <c r="S51" s="132"/>
      <c r="T51" s="132"/>
      <c r="U51" s="132"/>
      <c r="V51" s="132"/>
      <c r="W51" s="132"/>
      <c r="AD51" s="100"/>
      <c r="AE51" s="100"/>
      <c r="AF51" s="100"/>
      <c r="AJ51" s="100"/>
      <c r="AK51" s="100"/>
      <c r="AL51" s="100"/>
      <c r="AM51" s="100"/>
      <c r="AP51" s="100"/>
      <c r="AQ51" s="100"/>
      <c r="AR51" s="100"/>
      <c r="AS51" s="100"/>
      <c r="AV51" s="100"/>
      <c r="AW51" s="100"/>
      <c r="AX51" s="100"/>
    </row>
    <row r="52" spans="1:50">
      <c r="A52" s="134" t="s">
        <v>154</v>
      </c>
      <c r="B52" s="134"/>
      <c r="C52" s="134"/>
      <c r="D52" s="134"/>
      <c r="E52" s="134"/>
      <c r="AD52" s="100"/>
      <c r="AE52" s="100"/>
      <c r="AF52" s="100"/>
      <c r="AJ52" s="100"/>
      <c r="AK52" s="100"/>
      <c r="AL52" s="100"/>
      <c r="AM52" s="100"/>
      <c r="AP52" s="100"/>
      <c r="AQ52" s="100"/>
      <c r="AR52" s="100"/>
      <c r="AS52" s="100"/>
      <c r="AV52" s="100"/>
      <c r="AW52" s="100"/>
      <c r="AX52" s="100"/>
    </row>
    <row r="53" spans="1:50">
      <c r="A53" s="121" t="s">
        <v>155</v>
      </c>
      <c r="B53" s="121"/>
      <c r="C53" s="121"/>
      <c r="D53" s="121"/>
      <c r="E53" s="121"/>
      <c r="F53" s="10">
        <v>46201</v>
      </c>
      <c r="AD53" s="100"/>
      <c r="AE53" s="100"/>
      <c r="AF53" s="100"/>
      <c r="AJ53" s="100"/>
      <c r="AK53" s="100"/>
      <c r="AL53" s="100"/>
      <c r="AM53" s="100"/>
      <c r="AP53" s="100"/>
      <c r="AQ53" s="100"/>
      <c r="AR53" s="100"/>
      <c r="AS53" s="100"/>
      <c r="AV53" s="100"/>
      <c r="AW53" s="100"/>
      <c r="AX53" s="100"/>
    </row>
    <row r="54" spans="1:50">
      <c r="A54" s="80" t="str">
        <f>AC3</f>
        <v>África do Sul</v>
      </c>
      <c r="B54" s="2">
        <v>1</v>
      </c>
      <c r="C54" s="99" t="s">
        <v>12</v>
      </c>
      <c r="D54" s="4">
        <v>0</v>
      </c>
      <c r="E54" s="83" t="str">
        <f>AI3</f>
        <v>Catar</v>
      </c>
      <c r="F54" s="8" t="s">
        <v>14</v>
      </c>
      <c r="AD54" s="100"/>
      <c r="AE54" s="100"/>
      <c r="AF54" s="100"/>
      <c r="AJ54" s="100"/>
      <c r="AK54" s="100"/>
      <c r="AL54" s="100"/>
      <c r="AM54" s="100"/>
      <c r="AP54" s="100"/>
      <c r="AQ54" s="100"/>
      <c r="AR54" s="100"/>
      <c r="AS54" s="100"/>
      <c r="AV54" s="100"/>
      <c r="AW54" s="100"/>
      <c r="AX54" s="100"/>
    </row>
    <row r="55" spans="1:50">
      <c r="A55" s="81" t="s">
        <v>156</v>
      </c>
      <c r="C55" s="99" t="s">
        <v>157</v>
      </c>
      <c r="E55" s="83"/>
      <c r="AD55" s="100"/>
      <c r="AE55" s="100"/>
      <c r="AF55" s="100"/>
      <c r="AJ55" s="100"/>
      <c r="AK55" s="100"/>
      <c r="AL55" s="100"/>
      <c r="AM55" s="100"/>
      <c r="AP55" s="100"/>
      <c r="AQ55" s="100"/>
      <c r="AR55" s="100"/>
      <c r="AS55" s="100"/>
      <c r="AV55" s="100"/>
      <c r="AW55" s="100"/>
      <c r="AX55" s="100"/>
    </row>
    <row r="56" spans="1:50">
      <c r="A56" s="121" t="s">
        <v>158</v>
      </c>
      <c r="B56" s="121"/>
      <c r="C56" s="121"/>
      <c r="D56" s="121"/>
      <c r="E56" s="121"/>
      <c r="F56" s="10">
        <v>46202</v>
      </c>
      <c r="AD56" s="100"/>
      <c r="AE56" s="100"/>
      <c r="AF56" s="100"/>
      <c r="AJ56" s="100"/>
      <c r="AK56" s="100"/>
      <c r="AL56" s="100"/>
      <c r="AM56" s="100"/>
      <c r="AP56" s="100"/>
      <c r="AQ56" s="100"/>
      <c r="AR56" s="100"/>
      <c r="AS56" s="100"/>
      <c r="AV56" s="100"/>
      <c r="AW56" s="100"/>
      <c r="AX56" s="100"/>
    </row>
    <row r="57" spans="1:50">
      <c r="A57" s="80" t="str">
        <f>AC14</f>
        <v>Alemanha</v>
      </c>
      <c r="B57" s="2">
        <v>2</v>
      </c>
      <c r="C57" s="99" t="s">
        <v>12</v>
      </c>
      <c r="D57" s="4">
        <v>0</v>
      </c>
      <c r="E57" s="84" t="str">
        <f>INDEX($AC$38:$AC$49, MATCH( RIGHT(INDEX(Matriz!E:E, MATCH(BI1, Matriz!J:J, 0)), 1), $AG$38:$AG$49, 0))</f>
        <v>Austrália</v>
      </c>
      <c r="F57" s="8" t="s">
        <v>159</v>
      </c>
      <c r="AD57" s="100"/>
      <c r="AE57" s="100"/>
      <c r="AF57" s="100"/>
      <c r="AJ57" s="100"/>
      <c r="AK57" s="100"/>
      <c r="AL57" s="100"/>
      <c r="AM57" s="100"/>
      <c r="AP57" s="100"/>
      <c r="AQ57" s="100"/>
      <c r="AR57" s="100"/>
      <c r="AS57" s="100"/>
      <c r="AV57" s="100"/>
      <c r="AW57" s="100"/>
      <c r="AX57" s="100"/>
    </row>
    <row r="58" spans="1:50">
      <c r="A58" s="81" t="s">
        <v>156</v>
      </c>
      <c r="C58" s="99" t="s">
        <v>157</v>
      </c>
      <c r="E58" s="83"/>
      <c r="AD58" s="100"/>
      <c r="AE58" s="100"/>
      <c r="AF58" s="100"/>
      <c r="AJ58" s="100"/>
      <c r="AK58" s="100"/>
      <c r="AL58" s="100"/>
      <c r="AM58" s="100"/>
      <c r="AP58" s="100"/>
      <c r="AQ58" s="100"/>
      <c r="AR58" s="100"/>
      <c r="AS58" s="100"/>
      <c r="AV58" s="100"/>
      <c r="AW58" s="100"/>
      <c r="AX58" s="100"/>
    </row>
    <row r="59" spans="1:50">
      <c r="A59" s="121" t="s">
        <v>160</v>
      </c>
      <c r="B59" s="121"/>
      <c r="C59" s="121"/>
      <c r="D59" s="121"/>
      <c r="E59" s="121"/>
      <c r="F59" s="10">
        <v>46202</v>
      </c>
      <c r="AD59" s="100"/>
      <c r="AE59" s="100"/>
      <c r="AF59" s="100"/>
      <c r="AJ59" s="100"/>
      <c r="AK59" s="100"/>
      <c r="AL59" s="100"/>
      <c r="AM59" s="100"/>
      <c r="AP59" s="100"/>
      <c r="AQ59" s="100"/>
      <c r="AR59" s="100"/>
      <c r="AS59" s="100"/>
      <c r="AV59" s="100"/>
      <c r="AW59" s="100"/>
      <c r="AX59" s="100"/>
    </row>
    <row r="60" spans="1:50">
      <c r="A60" s="80" t="str">
        <f>AI14</f>
        <v>Japão</v>
      </c>
      <c r="B60" s="2">
        <v>1</v>
      </c>
      <c r="C60" s="99" t="s">
        <v>12</v>
      </c>
      <c r="D60" s="4">
        <v>1</v>
      </c>
      <c r="E60" s="83" t="str">
        <f>AC9</f>
        <v>Marrocos</v>
      </c>
      <c r="F60" s="8" t="s">
        <v>39</v>
      </c>
      <c r="AD60" s="100"/>
      <c r="AE60" s="100"/>
      <c r="AF60" s="100"/>
      <c r="AJ60" s="100"/>
      <c r="AK60" s="100"/>
      <c r="AL60" s="100"/>
      <c r="AM60" s="100"/>
      <c r="AP60" s="100"/>
      <c r="AQ60" s="100"/>
      <c r="AR60" s="100"/>
      <c r="AS60" s="100"/>
      <c r="AV60" s="100"/>
      <c r="AW60" s="100"/>
      <c r="AX60" s="100"/>
    </row>
    <row r="61" spans="1:50">
      <c r="A61" s="81" t="s">
        <v>156</v>
      </c>
      <c r="B61" s="2">
        <v>4</v>
      </c>
      <c r="C61" s="99" t="s">
        <v>157</v>
      </c>
      <c r="D61" s="4">
        <v>3</v>
      </c>
      <c r="E61" s="83"/>
      <c r="J61" s="134" t="s">
        <v>161</v>
      </c>
      <c r="K61" s="134"/>
      <c r="L61" s="134"/>
      <c r="M61" s="134"/>
      <c r="N61" s="134"/>
      <c r="AD61" s="100"/>
      <c r="AE61" s="100"/>
      <c r="AF61" s="100"/>
      <c r="AJ61" s="100"/>
      <c r="AK61" s="100"/>
      <c r="AL61" s="100"/>
      <c r="AM61" s="100"/>
      <c r="AP61" s="100"/>
      <c r="AQ61" s="100"/>
      <c r="AR61" s="100"/>
      <c r="AS61" s="100"/>
      <c r="AV61" s="100"/>
      <c r="AW61" s="100"/>
      <c r="AX61" s="100"/>
    </row>
    <row r="62" spans="1:50">
      <c r="A62" s="121" t="s">
        <v>162</v>
      </c>
      <c r="B62" s="121"/>
      <c r="C62" s="121"/>
      <c r="D62" s="121"/>
      <c r="E62" s="121"/>
      <c r="F62" s="10">
        <v>46202</v>
      </c>
      <c r="J62" s="121" t="s">
        <v>163</v>
      </c>
      <c r="K62" s="121"/>
      <c r="L62" s="121"/>
      <c r="M62" s="121"/>
      <c r="N62" s="121"/>
      <c r="O62" s="10">
        <v>46207</v>
      </c>
      <c r="AD62" s="100"/>
      <c r="AE62" s="100"/>
      <c r="AF62" s="100"/>
      <c r="AJ62" s="100"/>
      <c r="AK62" s="100"/>
      <c r="AL62" s="100"/>
      <c r="AM62" s="100"/>
      <c r="AP62" s="100"/>
      <c r="AQ62" s="100"/>
      <c r="AR62" s="100"/>
      <c r="AS62" s="100"/>
      <c r="AV62" s="100"/>
      <c r="AW62" s="100"/>
      <c r="AX62" s="100"/>
    </row>
    <row r="63" spans="1:50">
      <c r="A63" s="80" t="str">
        <f>AC8</f>
        <v>Brasil</v>
      </c>
      <c r="B63" s="2">
        <v>0</v>
      </c>
      <c r="C63" s="99" t="s">
        <v>12</v>
      </c>
      <c r="D63" s="4">
        <v>0</v>
      </c>
      <c r="E63" s="83" t="str">
        <f>AI15</f>
        <v>Holanda</v>
      </c>
      <c r="F63" s="8" t="s">
        <v>69</v>
      </c>
      <c r="J63" s="80" t="str">
        <f>IF(B57 = "", "", IF(B57 &gt; D57, A57, IF(D57 &gt; B57, E57, IF(D58 &gt; B58, E57, A57))))</f>
        <v>Alemanha</v>
      </c>
      <c r="K63" s="1">
        <v>1</v>
      </c>
      <c r="L63" s="99" t="s">
        <v>12</v>
      </c>
      <c r="M63">
        <v>2</v>
      </c>
      <c r="N63" s="83" t="str">
        <f>IF(B66 = "", "", IF(B66 &gt; D66, A66, IF(D66 &gt; B66, E66, IF(D67 &gt; B67, E66, A66))))</f>
        <v>França</v>
      </c>
      <c r="O63" s="8" t="s">
        <v>123</v>
      </c>
      <c r="AD63" s="100"/>
      <c r="AE63" s="100"/>
      <c r="AF63" s="100"/>
      <c r="AJ63" s="100"/>
      <c r="AK63" s="100"/>
      <c r="AL63" s="100"/>
      <c r="AM63" s="100"/>
      <c r="AP63" s="100"/>
      <c r="AQ63" s="100"/>
      <c r="AR63" s="100"/>
      <c r="AS63" s="100"/>
      <c r="AV63" s="100"/>
      <c r="AW63" s="100"/>
      <c r="AX63" s="100"/>
    </row>
    <row r="64" spans="1:50">
      <c r="A64" s="81" t="s">
        <v>156</v>
      </c>
      <c r="B64" s="2">
        <v>5</v>
      </c>
      <c r="C64" s="99" t="s">
        <v>157</v>
      </c>
      <c r="D64" s="4">
        <v>4</v>
      </c>
      <c r="E64" s="83"/>
      <c r="J64" s="81" t="s">
        <v>156</v>
      </c>
      <c r="L64" s="99" t="s">
        <v>157</v>
      </c>
      <c r="N64" s="83"/>
      <c r="AD64" s="100"/>
      <c r="AE64" s="100"/>
      <c r="AF64" s="100"/>
      <c r="AJ64" s="100"/>
      <c r="AK64" s="100"/>
      <c r="AL64" s="100"/>
      <c r="AM64" s="100"/>
      <c r="AP64" s="100"/>
      <c r="AQ64" s="100"/>
      <c r="AR64" s="100"/>
      <c r="AS64" s="100"/>
      <c r="AV64" s="100"/>
      <c r="AW64" s="100"/>
      <c r="AX64" s="100"/>
    </row>
    <row r="65" spans="1:60">
      <c r="A65" s="121" t="s">
        <v>164</v>
      </c>
      <c r="B65" s="121"/>
      <c r="C65" s="121"/>
      <c r="D65" s="121"/>
      <c r="E65" s="121"/>
      <c r="F65" s="10">
        <v>46203</v>
      </c>
      <c r="J65" s="121" t="s">
        <v>165</v>
      </c>
      <c r="K65" s="121"/>
      <c r="L65" s="121"/>
      <c r="M65" s="121"/>
      <c r="N65" s="121"/>
      <c r="O65" s="10">
        <v>46207</v>
      </c>
      <c r="AD65" s="100"/>
      <c r="AE65" s="100"/>
      <c r="AF65" s="100"/>
      <c r="AJ65" s="100"/>
      <c r="AK65" s="100"/>
      <c r="AL65" s="100"/>
      <c r="AM65" s="100"/>
      <c r="AP65" s="100"/>
      <c r="AQ65" s="100"/>
      <c r="AR65" s="100"/>
      <c r="AS65" s="100"/>
      <c r="AV65" s="100"/>
      <c r="AW65" s="100"/>
      <c r="AX65" s="100"/>
    </row>
    <row r="66" spans="1:60">
      <c r="A66" s="80" t="str">
        <f>AC26</f>
        <v>França</v>
      </c>
      <c r="B66" s="2">
        <v>3</v>
      </c>
      <c r="C66" s="99" t="s">
        <v>12</v>
      </c>
      <c r="D66" s="4">
        <v>1</v>
      </c>
      <c r="E66" s="83" t="str">
        <f>INDEX($AC$38:$AC$49, MATCH( RIGHT(INDEX(Matriz!G:G, MATCH(BI1, Matriz!J:J, 0)), 1), $AG$38:$AG$49, 0))</f>
        <v>Suécia</v>
      </c>
      <c r="F66" s="8" t="s">
        <v>123</v>
      </c>
      <c r="J66" s="80" t="str">
        <f>IF(B54 = "", "", IF(B54 &gt; D54, A54, IF(D54 &gt; B54, E54, IF(D55 &gt; B55, E54, A54))))</f>
        <v>África do Sul</v>
      </c>
      <c r="K66" s="1">
        <v>0</v>
      </c>
      <c r="L66" s="99" t="s">
        <v>12</v>
      </c>
      <c r="M66">
        <v>2</v>
      </c>
      <c r="N66" s="83" t="str">
        <f>IF(B60 = "", "", IF(B60 &gt; D60, A60, IF(D60 &gt; B60, E60, IF(D61 &gt; B61, E60, A60))))</f>
        <v>Japão</v>
      </c>
      <c r="O66" s="8" t="s">
        <v>69</v>
      </c>
      <c r="AD66" s="100"/>
      <c r="AE66" s="100"/>
      <c r="AF66" s="100"/>
      <c r="AJ66" s="100"/>
      <c r="AK66" s="100"/>
      <c r="AL66" s="100"/>
      <c r="AM66" s="100"/>
      <c r="AP66" s="100"/>
      <c r="AQ66" s="100"/>
      <c r="AR66" s="100"/>
      <c r="AS66" s="100"/>
      <c r="AV66" s="100"/>
      <c r="AW66" s="100"/>
      <c r="AX66" s="100"/>
    </row>
    <row r="67" spans="1:60">
      <c r="A67" s="81" t="s">
        <v>156</v>
      </c>
      <c r="C67" s="99" t="s">
        <v>157</v>
      </c>
      <c r="E67" s="83"/>
      <c r="J67" s="81" t="s">
        <v>156</v>
      </c>
      <c r="L67" s="99" t="s">
        <v>157</v>
      </c>
      <c r="N67" s="83"/>
      <c r="AD67" s="100"/>
      <c r="AE67" s="100"/>
      <c r="AF67" s="100"/>
      <c r="AJ67" s="100"/>
      <c r="AK67" s="100"/>
      <c r="AL67" s="100"/>
      <c r="AM67" s="100"/>
      <c r="AP67" s="100"/>
      <c r="AQ67" s="100"/>
      <c r="AR67" s="100"/>
      <c r="AS67" s="100"/>
      <c r="AV67" s="100"/>
      <c r="AW67" s="100"/>
      <c r="AX67" s="100"/>
    </row>
    <row r="68" spans="1:60">
      <c r="A68" s="121" t="s">
        <v>166</v>
      </c>
      <c r="B68" s="121"/>
      <c r="C68" s="121"/>
      <c r="D68" s="121"/>
      <c r="E68" s="121"/>
      <c r="F68" s="10">
        <v>46203</v>
      </c>
      <c r="J68" s="121" t="s">
        <v>167</v>
      </c>
      <c r="K68" s="121"/>
      <c r="L68" s="121"/>
      <c r="M68" s="121"/>
      <c r="N68" s="121"/>
      <c r="O68" s="10">
        <v>46208</v>
      </c>
      <c r="AD68" s="100"/>
      <c r="AE68" s="100"/>
      <c r="AF68" s="100"/>
      <c r="AJ68" s="100"/>
      <c r="AK68" s="100"/>
      <c r="AL68" s="100"/>
      <c r="AM68" s="100"/>
      <c r="AP68" s="100"/>
      <c r="AQ68" s="100"/>
      <c r="AR68" s="100"/>
      <c r="AS68" s="100"/>
      <c r="AV68" s="100"/>
      <c r="AW68" s="100"/>
      <c r="AX68" s="100"/>
    </row>
    <row r="69" spans="1:60">
      <c r="A69" s="80" t="str">
        <f>AC15</f>
        <v>Equador</v>
      </c>
      <c r="B69" s="2">
        <v>2</v>
      </c>
      <c r="C69" s="99" t="s">
        <v>12</v>
      </c>
      <c r="D69" s="4">
        <v>0</v>
      </c>
      <c r="E69" s="83" t="str">
        <f>AC27</f>
        <v>Noruega</v>
      </c>
      <c r="F69" s="8" t="s">
        <v>69</v>
      </c>
      <c r="J69" s="80" t="str">
        <f>IF(B63 = "", "", IF(B63 &gt; D63, A63, IF(D63 &gt; B63, E63, IF(D64 &gt; B64, E63, A63))))</f>
        <v>Brasil</v>
      </c>
      <c r="K69" s="1">
        <v>3</v>
      </c>
      <c r="L69" s="99" t="s">
        <v>12</v>
      </c>
      <c r="M69">
        <v>0</v>
      </c>
      <c r="N69" s="83" t="str">
        <f>IF(B69 = "", "", IF(B69 &gt; D69, A69, IF(D69 &gt; B69, E69, IF(D70 &gt; B70, E69, A69))))</f>
        <v>Equador</v>
      </c>
      <c r="O69" s="8" t="s">
        <v>57</v>
      </c>
      <c r="AD69" s="100"/>
      <c r="AE69" s="100"/>
      <c r="AF69" s="100"/>
      <c r="AJ69" s="100"/>
      <c r="AK69" s="100"/>
      <c r="AL69" s="100"/>
      <c r="AM69" s="100"/>
      <c r="AP69" s="100"/>
      <c r="AQ69" s="100"/>
      <c r="AR69" s="100"/>
      <c r="AS69" s="100"/>
      <c r="AV69" s="100"/>
      <c r="AW69" s="100"/>
      <c r="AX69" s="100"/>
    </row>
    <row r="70" spans="1:60">
      <c r="A70" s="81" t="s">
        <v>156</v>
      </c>
      <c r="C70" s="99" t="s">
        <v>157</v>
      </c>
      <c r="E70" s="83"/>
      <c r="J70" s="81" t="s">
        <v>156</v>
      </c>
      <c r="L70" s="99" t="s">
        <v>157</v>
      </c>
      <c r="N70" s="83"/>
      <c r="AD70" s="100"/>
      <c r="AE70" s="100"/>
      <c r="AF70" s="100"/>
      <c r="AJ70" s="100"/>
      <c r="AK70" s="100"/>
      <c r="AL70" s="100"/>
      <c r="AM70" s="100"/>
      <c r="AP70" s="100"/>
      <c r="AQ70" s="100"/>
      <c r="AR70" s="100"/>
      <c r="AS70" s="100"/>
      <c r="AV70" s="100"/>
      <c r="AW70" s="100"/>
      <c r="AX70" s="100"/>
    </row>
    <row r="71" spans="1:60">
      <c r="A71" s="121" t="s">
        <v>168</v>
      </c>
      <c r="B71" s="121"/>
      <c r="C71" s="121"/>
      <c r="D71" s="121"/>
      <c r="E71" s="121"/>
      <c r="F71" s="10">
        <v>46203</v>
      </c>
      <c r="J71" s="121" t="s">
        <v>169</v>
      </c>
      <c r="K71" s="121"/>
      <c r="L71" s="121"/>
      <c r="M71" s="121"/>
      <c r="N71" s="121"/>
      <c r="O71" s="10">
        <v>46208</v>
      </c>
      <c r="AD71" s="100"/>
      <c r="AE71" s="100"/>
      <c r="AF71" s="100"/>
      <c r="AJ71" s="100"/>
      <c r="AK71" s="100"/>
      <c r="AL71" s="100"/>
      <c r="AM71" s="100"/>
      <c r="AP71" s="100"/>
      <c r="AQ71" s="100"/>
      <c r="AR71" s="100"/>
      <c r="AS71" s="100"/>
      <c r="AV71" s="100"/>
      <c r="AW71" s="100"/>
      <c r="AX71" s="100"/>
    </row>
    <row r="72" spans="1:60">
      <c r="A72" s="80" t="str">
        <f>AC2</f>
        <v>México</v>
      </c>
      <c r="B72" s="2">
        <v>3</v>
      </c>
      <c r="C72" s="99" t="s">
        <v>12</v>
      </c>
      <c r="D72" s="4">
        <v>1</v>
      </c>
      <c r="E72" s="83" t="str">
        <f>INDEX($AC$38:$AC$49, MATCH( RIGHT(INDEX(Matriz!B:B, MATCH(BI1, Matriz!J:J, 0)), 1), $AG$38:$AG$49, 0))</f>
        <v>Escócia</v>
      </c>
      <c r="F72" s="8" t="s">
        <v>39</v>
      </c>
      <c r="J72" s="80" t="str">
        <f>IF(B72 = "", "", IF(B72 &gt; D72, A72, IF(D72 &gt; B72, E72, IF(D73 &gt; B73, E72, A72))))</f>
        <v>México</v>
      </c>
      <c r="K72" s="1">
        <v>2</v>
      </c>
      <c r="L72" s="99" t="s">
        <v>12</v>
      </c>
      <c r="M72">
        <v>2</v>
      </c>
      <c r="N72" s="83" t="str">
        <f>IF(B75 = "", "", IF(B75 &gt; D75, A75, IF(D75 &gt; B75, E75, IF(D76 &gt; B76, E75, A75))))</f>
        <v>Inglaterra</v>
      </c>
      <c r="O72" s="8" t="s">
        <v>83</v>
      </c>
      <c r="AD72" s="100"/>
      <c r="AE72" s="100"/>
      <c r="AF72" s="100"/>
      <c r="AJ72" s="100"/>
      <c r="AK72" s="100"/>
      <c r="AL72" s="100"/>
      <c r="AM72" s="100"/>
      <c r="AP72" s="100"/>
      <c r="AQ72" s="100"/>
      <c r="AR72" s="100"/>
      <c r="AS72" s="100"/>
      <c r="AV72" s="100"/>
      <c r="AW72" s="100"/>
      <c r="AX72" s="100"/>
    </row>
    <row r="73" spans="1:60">
      <c r="A73" s="81" t="s">
        <v>156</v>
      </c>
      <c r="C73" s="99" t="s">
        <v>157</v>
      </c>
      <c r="E73" s="83"/>
      <c r="J73" s="81" t="s">
        <v>156</v>
      </c>
      <c r="K73" s="1">
        <v>5</v>
      </c>
      <c r="L73" s="99" t="s">
        <v>157</v>
      </c>
      <c r="M73">
        <v>4</v>
      </c>
      <c r="N73" s="83"/>
      <c r="AD73" s="100"/>
      <c r="AE73" s="100"/>
      <c r="AF73" s="100"/>
      <c r="AJ73" s="100"/>
      <c r="AK73" s="100"/>
      <c r="AL73" s="100"/>
      <c r="AM73" s="100"/>
      <c r="AP73" s="100"/>
      <c r="AQ73" s="100"/>
      <c r="AR73" s="100"/>
      <c r="AS73" s="100"/>
      <c r="AV73" s="100"/>
      <c r="AW73" s="100"/>
      <c r="AX73" s="100"/>
    </row>
    <row r="74" spans="1:60">
      <c r="A74" s="121" t="s">
        <v>170</v>
      </c>
      <c r="B74" s="121"/>
      <c r="C74" s="121"/>
      <c r="D74" s="121"/>
      <c r="E74" s="121"/>
      <c r="F74" s="10">
        <v>46204</v>
      </c>
      <c r="J74" s="121" t="s">
        <v>171</v>
      </c>
      <c r="K74" s="121"/>
      <c r="L74" s="121"/>
      <c r="M74" s="121"/>
      <c r="N74" s="121"/>
      <c r="O74" s="10">
        <v>46209</v>
      </c>
      <c r="AD74" s="100"/>
      <c r="AE74" s="100"/>
      <c r="AF74" s="100"/>
      <c r="AJ74" s="100"/>
      <c r="AK74" s="100"/>
      <c r="AL74" s="100"/>
      <c r="AM74" s="100"/>
      <c r="AP74" s="100"/>
      <c r="AQ74" s="100"/>
      <c r="AR74" s="100"/>
      <c r="AS74" s="100"/>
      <c r="AV74" s="100"/>
      <c r="AW74" s="100"/>
      <c r="AX74" s="100"/>
    </row>
    <row r="75" spans="1:60">
      <c r="A75" s="80" t="str">
        <f>AI32</f>
        <v>Inglaterra</v>
      </c>
      <c r="B75" s="2">
        <v>3</v>
      </c>
      <c r="C75" s="99" t="s">
        <v>12</v>
      </c>
      <c r="D75" s="4">
        <v>0</v>
      </c>
      <c r="E75" s="83" t="str">
        <f>INDEX($AC$38:$AC$49, MATCH( RIGHT(INDEX(Matriz!I:I, MATCH(BI1, Matriz!J:J, 0)), 1), $AG$38:$AG$49, 0))</f>
        <v>Senegal</v>
      </c>
      <c r="F75" s="8" t="s">
        <v>16</v>
      </c>
      <c r="J75" s="80" t="str">
        <f>IF(B84 = "", "", IF(B84 &gt; D84, A84, IF(D84 &gt; B84, E84, IF(D85 &gt; B85, E84, A84))))</f>
        <v>Portugal</v>
      </c>
      <c r="K75" s="1">
        <v>1</v>
      </c>
      <c r="L75" s="99" t="s">
        <v>12</v>
      </c>
      <c r="M75">
        <v>1</v>
      </c>
      <c r="N75" s="83" t="str">
        <f>IF(B87 = "", "", IF(B87 &gt; D87, A87, IF(D87 &gt; B87, E87, IF(D88 &gt; B88, E87, A87))))</f>
        <v>Espanha</v>
      </c>
      <c r="O75" s="8" t="s">
        <v>14</v>
      </c>
      <c r="AD75" s="100"/>
      <c r="AE75" s="100"/>
      <c r="AF75" s="100"/>
      <c r="AJ75" s="100"/>
      <c r="AK75" s="100"/>
      <c r="AL75" s="100"/>
      <c r="AM75" s="100"/>
      <c r="AP75" s="100"/>
      <c r="AQ75" s="100"/>
      <c r="AR75" s="100"/>
      <c r="AS75" s="100"/>
      <c r="AV75" s="100"/>
      <c r="AW75" s="100"/>
      <c r="AX75" s="100"/>
    </row>
    <row r="76" spans="1:60">
      <c r="A76" s="81" t="s">
        <v>156</v>
      </c>
      <c r="C76" s="99" t="s">
        <v>157</v>
      </c>
      <c r="E76" s="83"/>
      <c r="J76" s="81" t="s">
        <v>156</v>
      </c>
      <c r="K76" s="1">
        <v>7</v>
      </c>
      <c r="L76" s="99" t="s">
        <v>157</v>
      </c>
      <c r="M76">
        <v>6</v>
      </c>
      <c r="N76" s="83"/>
      <c r="AD76" s="100"/>
      <c r="AE76" s="100"/>
      <c r="AF76" s="100"/>
      <c r="AJ76" s="100"/>
      <c r="AK76" s="100"/>
      <c r="AL76" s="100"/>
      <c r="AM76" s="100"/>
      <c r="AP76" s="100"/>
      <c r="AQ76" s="100"/>
      <c r="AR76" s="100"/>
      <c r="AS76" s="100"/>
      <c r="AV76" s="100"/>
      <c r="AW76" s="100"/>
      <c r="AX76" s="100"/>
    </row>
    <row r="77" spans="1:60">
      <c r="A77" s="121" t="s">
        <v>172</v>
      </c>
      <c r="B77" s="121"/>
      <c r="C77" s="121"/>
      <c r="D77" s="121"/>
      <c r="E77" s="121"/>
      <c r="F77" s="10">
        <v>46204</v>
      </c>
      <c r="J77" s="121" t="s">
        <v>173</v>
      </c>
      <c r="K77" s="121"/>
      <c r="L77" s="121"/>
      <c r="M77" s="121"/>
      <c r="N77" s="121"/>
      <c r="O77" s="10">
        <v>46209</v>
      </c>
      <c r="AD77" s="100"/>
      <c r="AE77" s="100"/>
      <c r="AF77" s="100"/>
      <c r="AJ77" s="100"/>
      <c r="AK77" s="100"/>
      <c r="AL77" s="100"/>
      <c r="AM77" s="100"/>
      <c r="AP77" s="100"/>
      <c r="AQ77" s="100"/>
      <c r="AR77" s="100"/>
      <c r="AS77" s="100"/>
      <c r="AV77" s="100"/>
      <c r="AW77" s="100"/>
      <c r="AX77" s="100"/>
    </row>
    <row r="78" spans="1:60">
      <c r="A78" s="80" t="str">
        <f>AI8</f>
        <v>Paraguai</v>
      </c>
      <c r="B78" s="2">
        <v>4</v>
      </c>
      <c r="C78" s="99" t="s">
        <v>12</v>
      </c>
      <c r="D78" s="4">
        <v>1</v>
      </c>
      <c r="E78" s="83" t="str">
        <f>INDEX($AC$38:$AC$49, MATCH( RIGHT(INDEX(Matriz!D:D, MATCH(BI1, Matriz!J:J, 0)), 1), $AG$38:$AG$49, 0))</f>
        <v>Canadá</v>
      </c>
      <c r="F78" s="8" t="s">
        <v>83</v>
      </c>
      <c r="J78" s="80" t="str">
        <f>IF(B78 = "", "", IF(B78 &gt; D78, A78, IF(D78 &gt; B78, E78, IF(D79 &gt; B79, E78, A78))))</f>
        <v>Paraguai</v>
      </c>
      <c r="K78" s="1">
        <v>0</v>
      </c>
      <c r="L78" s="99" t="s">
        <v>12</v>
      </c>
      <c r="M78">
        <v>2</v>
      </c>
      <c r="N78" s="83" t="str">
        <f>IF(B81 = "", "", IF(B81 &gt; D81, A81, IF(D81 &gt; B81, E81, IF(D82 &gt; B82, E81, A81))))</f>
        <v>Bélgica</v>
      </c>
      <c r="O78" s="8" t="s">
        <v>83</v>
      </c>
      <c r="AD78" s="100"/>
      <c r="AE78" s="100"/>
      <c r="AF78" s="100"/>
      <c r="AJ78" s="100"/>
      <c r="AK78" s="100"/>
      <c r="AL78" s="100"/>
      <c r="AM78" s="100"/>
      <c r="AP78" s="100"/>
      <c r="AQ78" s="100"/>
      <c r="AR78" s="100"/>
      <c r="AS78" s="100"/>
      <c r="AV78" s="100"/>
      <c r="AW78" s="100"/>
      <c r="AX78" s="100"/>
    </row>
    <row r="79" spans="1:60">
      <c r="A79" s="81" t="s">
        <v>156</v>
      </c>
      <c r="B79" s="85"/>
      <c r="C79" s="99" t="s">
        <v>157</v>
      </c>
      <c r="E79" s="83"/>
      <c r="J79" s="81" t="s">
        <v>156</v>
      </c>
      <c r="L79" s="99" t="s">
        <v>157</v>
      </c>
      <c r="N79" s="83"/>
      <c r="AB79" s="12"/>
      <c r="AC79" s="114" t="s">
        <v>3</v>
      </c>
      <c r="AD79" s="114" t="s">
        <v>4</v>
      </c>
      <c r="AE79" s="114" t="s">
        <v>5</v>
      </c>
      <c r="AF79" s="114" t="s">
        <v>6</v>
      </c>
      <c r="AG79" s="13"/>
      <c r="AH79" s="12"/>
      <c r="AI79" s="114" t="s">
        <v>7</v>
      </c>
      <c r="AJ79" s="114" t="s">
        <v>4</v>
      </c>
      <c r="AK79" s="114" t="s">
        <v>5</v>
      </c>
      <c r="AL79" s="114" t="s">
        <v>6</v>
      </c>
      <c r="AM79" s="114"/>
      <c r="AN79" s="12"/>
      <c r="AO79" s="114" t="s">
        <v>32</v>
      </c>
      <c r="AP79" s="114" t="s">
        <v>4</v>
      </c>
      <c r="AQ79" s="114" t="s">
        <v>5</v>
      </c>
      <c r="AR79" s="114" t="s">
        <v>6</v>
      </c>
      <c r="AS79" s="114"/>
      <c r="AT79" s="12"/>
      <c r="AU79" s="114" t="s">
        <v>33</v>
      </c>
      <c r="AV79" s="114" t="s">
        <v>4</v>
      </c>
      <c r="AW79" s="114" t="s">
        <v>5</v>
      </c>
      <c r="AX79" s="114" t="s">
        <v>6</v>
      </c>
      <c r="AY79" s="11"/>
      <c r="AZ79" s="11"/>
      <c r="BA79" s="11"/>
      <c r="BB79" s="11"/>
      <c r="BC79" s="131" t="s">
        <v>124</v>
      </c>
      <c r="BD79" s="131"/>
      <c r="BE79" s="131"/>
      <c r="BF79" s="131"/>
      <c r="BG79" s="12"/>
      <c r="BH79" s="11"/>
    </row>
    <row r="80" spans="1:60">
      <c r="A80" s="121" t="s">
        <v>174</v>
      </c>
      <c r="B80" s="121"/>
      <c r="C80" s="121"/>
      <c r="D80" s="121"/>
      <c r="E80" s="121"/>
      <c r="F80" s="10">
        <v>46204</v>
      </c>
      <c r="J80" s="121" t="s">
        <v>175</v>
      </c>
      <c r="K80" s="121"/>
      <c r="L80" s="121"/>
      <c r="M80" s="121"/>
      <c r="N80" s="121"/>
      <c r="O80" s="10">
        <v>46210</v>
      </c>
      <c r="AB80" s="12" t="s">
        <v>176</v>
      </c>
      <c r="AC80" s="11" t="s">
        <v>11</v>
      </c>
      <c r="AD80" s="114">
        <f>$G$3+$P$9+$Z$13</f>
        <v>9</v>
      </c>
      <c r="AE80" s="114">
        <f>$B$3+$K$9+$V$13-$D$3-$M$9-$T$13</f>
        <v>8</v>
      </c>
      <c r="AF80" s="114">
        <f>$B$3+$K$9+$V$13</f>
        <v>9</v>
      </c>
      <c r="AG80" s="13">
        <f>AD80+(AE80/100)+(AF80/10000)+0.00004</f>
        <v>9.08094</v>
      </c>
      <c r="AH80" s="12" t="s">
        <v>176</v>
      </c>
      <c r="AI80" s="11" t="s">
        <v>17</v>
      </c>
      <c r="AJ80" s="114">
        <f>Y$3+P$5+H$11</f>
        <v>7</v>
      </c>
      <c r="AK80" s="114">
        <f>AL80-V$3-M$5-B$11</f>
        <v>5</v>
      </c>
      <c r="AL80" s="114">
        <f>T$3+K$5+D$11</f>
        <v>7</v>
      </c>
      <c r="AM80" s="114">
        <f>AJ80+(AK80/100)+(AL80/10000)+0.00001</f>
        <v>7.0507099999999996</v>
      </c>
      <c r="AN80" s="12" t="s">
        <v>176</v>
      </c>
      <c r="AO80" s="11" t="s">
        <v>41</v>
      </c>
      <c r="AP80" s="114">
        <f>Z$9+P$15+G$13</f>
        <v>9</v>
      </c>
      <c r="AQ80" s="114">
        <f>AR80-T$9-M$15-D$13</f>
        <v>8</v>
      </c>
      <c r="AR80" s="114">
        <f>V$9+K$15+B$13</f>
        <v>10</v>
      </c>
      <c r="AS80" s="114">
        <f>AP80+(AQ80/100)+(AR80/10000)+0.00004</f>
        <v>9.0810399999999998</v>
      </c>
      <c r="AT80" s="12" t="s">
        <v>176</v>
      </c>
      <c r="AU80" s="11" t="s">
        <v>61</v>
      </c>
      <c r="AV80" s="114">
        <f>Y$23+P$17+H$17</f>
        <v>1</v>
      </c>
      <c r="AW80" s="114">
        <f>AX80-V$23-M$17-B$17</f>
        <v>-3</v>
      </c>
      <c r="AX80" s="114">
        <f>T$23+K$17+D$17</f>
        <v>4</v>
      </c>
      <c r="AY80" s="11">
        <f>AV80+(AW80/100)+(AX80/10000)+0.00001</f>
        <v>0.97040999999999988</v>
      </c>
      <c r="AZ80" s="11"/>
      <c r="BA80" s="11"/>
      <c r="BB80" s="12" t="s">
        <v>176</v>
      </c>
      <c r="BC80" s="11" t="str">
        <f>AC$4</f>
        <v>Coreia do Sul</v>
      </c>
      <c r="BD80" s="11">
        <f t="shared" ref="BD80:BF80" si="191">AD$4</f>
        <v>2</v>
      </c>
      <c r="BE80" s="11">
        <f t="shared" si="191"/>
        <v>-4</v>
      </c>
      <c r="BF80" s="11">
        <f t="shared" si="191"/>
        <v>1</v>
      </c>
      <c r="BG80" s="12">
        <f>BD80+(BE80/100)+(BF80/10000)+0.000012</f>
        <v>1.9601119999999999</v>
      </c>
      <c r="BH80" s="11" t="s">
        <v>177</v>
      </c>
    </row>
    <row r="81" spans="1:60">
      <c r="A81" s="80" t="str">
        <f>AC20</f>
        <v>Bélgica</v>
      </c>
      <c r="B81" s="2">
        <v>2</v>
      </c>
      <c r="C81" s="99" t="s">
        <v>12</v>
      </c>
      <c r="D81" s="4">
        <v>0</v>
      </c>
      <c r="E81" s="83" t="str">
        <f>INDEX($AC$38:$AC$49, MATCH( RIGHT(INDEX(Matriz!F:F, MATCH(BI1, Matriz!J:J, 0)), 1), $AG$38:$AG$49, 0))</f>
        <v>Arábia Saudita</v>
      </c>
      <c r="F81" s="8" t="s">
        <v>57</v>
      </c>
      <c r="J81" s="80" t="str">
        <f>IF(B93 = "", "", IF(B93 &gt; D93, A93, IF(D93 &gt; B93, E93, IF(D94 &gt; B94, E93, A93))))</f>
        <v>Uruguai</v>
      </c>
      <c r="K81" s="1">
        <v>4</v>
      </c>
      <c r="L81" s="99" t="s">
        <v>12</v>
      </c>
      <c r="M81">
        <v>0</v>
      </c>
      <c r="N81" s="83" t="str">
        <f>IF(B99 = "", "", IF(B99 &gt; D99, A99, IF(D99 &gt; B99, E99, IF(D100 &gt; B100, E99, A99))))</f>
        <v>Egito</v>
      </c>
      <c r="O81" s="8" t="s">
        <v>16</v>
      </c>
      <c r="AB81" s="12" t="s">
        <v>178</v>
      </c>
      <c r="AC81" s="11" t="s">
        <v>15</v>
      </c>
      <c r="AD81" s="114">
        <f>$P$3+$H$5+$Y$13</f>
        <v>1</v>
      </c>
      <c r="AE81" s="114">
        <f>$D$5-$B$5+$K$3-$M$3+$T$13-$V$13</f>
        <v>-4</v>
      </c>
      <c r="AF81" s="114">
        <f>$D$5+$T$13+$K$3</f>
        <v>1</v>
      </c>
      <c r="AG81" s="13">
        <f>AD81+(AE81/100)+(AF81/10000)+0.00001</f>
        <v>0.96010999999999991</v>
      </c>
      <c r="AH81" s="12" t="s">
        <v>178</v>
      </c>
      <c r="AI81" s="11" t="s">
        <v>24</v>
      </c>
      <c r="AJ81" s="114">
        <f>Y$5+Q$5+H$7</f>
        <v>1</v>
      </c>
      <c r="AK81" s="114">
        <f>AL81-V$5-K$5-B$7</f>
        <v>-3</v>
      </c>
      <c r="AL81" s="114">
        <f>T$5+M$5+D$7</f>
        <v>3</v>
      </c>
      <c r="AM81" s="114">
        <f>AJ81+(AK81/100)+(AL81/10000)+0.00003</f>
        <v>0.97032999999999991</v>
      </c>
      <c r="AN81" s="12" t="s">
        <v>178</v>
      </c>
      <c r="AO81" s="11" t="s">
        <v>30</v>
      </c>
      <c r="AP81" s="114">
        <f>Y$7+Q$13+H$13</f>
        <v>6</v>
      </c>
      <c r="AQ81" s="114">
        <f>AR81-V$7-K$13-B$13</f>
        <v>0</v>
      </c>
      <c r="AR81" s="114">
        <f>T$7+M$13+D$13</f>
        <v>4</v>
      </c>
      <c r="AS81" s="114">
        <f>AP81+(AQ81/100)+(AR81/10000)+0.00003</f>
        <v>6.0004299999999997</v>
      </c>
      <c r="AT81" s="12" t="s">
        <v>178</v>
      </c>
      <c r="AU81" s="11" t="s">
        <v>37</v>
      </c>
      <c r="AV81" s="114">
        <f>Z$23+P$11+G$9</f>
        <v>5</v>
      </c>
      <c r="AW81" s="114">
        <f>AX81-T$23-M$11-D$9</f>
        <v>1</v>
      </c>
      <c r="AX81" s="114">
        <f>V$23+K$11+B$9</f>
        <v>5</v>
      </c>
      <c r="AY81" s="11">
        <f>AV81+(AW81/100)+(AX81/10000)+0.00004</f>
        <v>5.0105399999999998</v>
      </c>
      <c r="AZ81" s="11"/>
      <c r="BA81" s="11"/>
      <c r="BB81" s="12" t="s">
        <v>178</v>
      </c>
      <c r="BC81" s="11" t="str">
        <f>AC$16</f>
        <v>Costa do Marfim</v>
      </c>
      <c r="BD81" s="11">
        <f>AD$16</f>
        <v>3</v>
      </c>
      <c r="BE81" s="11">
        <f>AE$16</f>
        <v>-1</v>
      </c>
      <c r="BF81" s="11">
        <f>AF$16</f>
        <v>4</v>
      </c>
      <c r="BG81" s="12">
        <f>BD81+(BE81/100)+(BF81/10000)+0.000008</f>
        <v>2.990408</v>
      </c>
      <c r="BH81" s="11" t="s">
        <v>179</v>
      </c>
    </row>
    <row r="82" spans="1:60">
      <c r="A82" s="81" t="s">
        <v>156</v>
      </c>
      <c r="C82" s="99" t="s">
        <v>157</v>
      </c>
      <c r="E82" s="83"/>
      <c r="J82" s="81" t="s">
        <v>156</v>
      </c>
      <c r="L82" s="99" t="s">
        <v>157</v>
      </c>
      <c r="N82" s="83"/>
      <c r="AB82" s="12" t="s">
        <v>180</v>
      </c>
      <c r="AC82" s="11" t="s">
        <v>22</v>
      </c>
      <c r="AD82" s="114">
        <f>$G$5+$Q$9+$Z$11</f>
        <v>2</v>
      </c>
      <c r="AE82" s="114">
        <f>$B$5+$M$9+$V$11-$T$11-$K$9-$D$5</f>
        <v>-4</v>
      </c>
      <c r="AF82" s="114">
        <f>$B$5+$M$9+$V$11</f>
        <v>1</v>
      </c>
      <c r="AG82" s="13">
        <f>AD82+(AE82/100)+(AF82/10000)+0.00002</f>
        <v>1.9601199999999999</v>
      </c>
      <c r="AH82" s="12" t="s">
        <v>180</v>
      </c>
      <c r="AI82" s="11" t="s">
        <v>18</v>
      </c>
      <c r="AJ82" s="114">
        <f>Z$3+P$7+G$7</f>
        <v>4</v>
      </c>
      <c r="AK82" s="114">
        <f>AL82-T$3-M$7-D$7</f>
        <v>-1</v>
      </c>
      <c r="AL82" s="114">
        <f>V$3+K$7+B$7</f>
        <v>3</v>
      </c>
      <c r="AM82" s="114">
        <f>AJ82+(AK82/100)+(AL82/10000)+0.00004</f>
        <v>3.9903400000000002</v>
      </c>
      <c r="AN82" s="12" t="s">
        <v>180</v>
      </c>
      <c r="AO82" s="11" t="s">
        <v>40</v>
      </c>
      <c r="AP82" s="114">
        <f>Y$9+P$13+H$15</f>
        <v>3</v>
      </c>
      <c r="AQ82" s="114">
        <f>AR82-V$9-M$13-B$15</f>
        <v>0</v>
      </c>
      <c r="AR82" s="114">
        <f>T$9+P$13+H$15</f>
        <v>5</v>
      </c>
      <c r="AS82" s="114">
        <f>AP82+(AQ82/100)+(AR82/10000)+0.00001</f>
        <v>3.0005100000000002</v>
      </c>
      <c r="AT82" s="12" t="s">
        <v>180</v>
      </c>
      <c r="AU82" s="11" t="s">
        <v>38</v>
      </c>
      <c r="AV82" s="114">
        <f>Y$25+Q$17+H$9</f>
        <v>7</v>
      </c>
      <c r="AW82" s="114">
        <f>AX82-V$25-K$17-B$9</f>
        <v>5</v>
      </c>
      <c r="AX82" s="114">
        <f>T$25+M$17+D$9</f>
        <v>8</v>
      </c>
      <c r="AY82" s="11">
        <f>AV82+(AW82/100)+(AX82/10000)+0.00003</f>
        <v>7.0508299999999995</v>
      </c>
      <c r="AZ82" s="11"/>
      <c r="BA82" s="11"/>
      <c r="BB82" s="12" t="s">
        <v>180</v>
      </c>
      <c r="BC82" s="11" t="str">
        <f>AC$28</f>
        <v>Senegal</v>
      </c>
      <c r="BD82" s="11">
        <f>AD$28</f>
        <v>4</v>
      </c>
      <c r="BE82" s="11">
        <f>AE$28</f>
        <v>-1</v>
      </c>
      <c r="BF82" s="11">
        <f>AF$28</f>
        <v>4</v>
      </c>
      <c r="BG82" s="12">
        <f>BD82+(BE82/100)+(BF82/10000)+0.000004</f>
        <v>3.9904040000000003</v>
      </c>
      <c r="BH82" s="11" t="s">
        <v>181</v>
      </c>
    </row>
    <row r="83" spans="1:60">
      <c r="A83" s="121" t="s">
        <v>182</v>
      </c>
      <c r="B83" s="121"/>
      <c r="C83" s="121"/>
      <c r="D83" s="121"/>
      <c r="E83" s="121"/>
      <c r="F83" s="10">
        <v>46205</v>
      </c>
      <c r="J83" s="121" t="s">
        <v>183</v>
      </c>
      <c r="K83" s="121"/>
      <c r="L83" s="121"/>
      <c r="M83" s="121"/>
      <c r="N83" s="121"/>
      <c r="O83" s="10">
        <v>46210</v>
      </c>
      <c r="S83" s="117" t="s">
        <v>184</v>
      </c>
      <c r="T83" s="117"/>
      <c r="U83" s="117"/>
      <c r="V83" s="117"/>
      <c r="W83" s="117"/>
      <c r="AB83" s="12" t="s">
        <v>185</v>
      </c>
      <c r="AC83" s="11" t="s">
        <v>13</v>
      </c>
      <c r="AD83" s="114">
        <f>$H$3+$Q$3+$Y$11</f>
        <v>4</v>
      </c>
      <c r="AE83" s="114">
        <f>$M$3+$D$3+$T$11-$V$11-$K$3-$B$3</f>
        <v>0</v>
      </c>
      <c r="AF83" s="114">
        <f>$M$3+$D$3+$T$11</f>
        <v>4</v>
      </c>
      <c r="AG83" s="13">
        <f>AD83+(AE83/100)+(AF83/10000)+0.00003</f>
        <v>4.0004299999999997</v>
      </c>
      <c r="AH83" s="12" t="s">
        <v>185</v>
      </c>
      <c r="AI83" s="11" t="s">
        <v>25</v>
      </c>
      <c r="AJ83" s="114">
        <f>Z$5+Q$7+G$11</f>
        <v>4</v>
      </c>
      <c r="AK83" s="114">
        <f>AL83-T$5-K$7-D$11</f>
        <v>-1</v>
      </c>
      <c r="AL83" s="114">
        <f>V$5+M$7+B$11</f>
        <v>5</v>
      </c>
      <c r="AM83" s="114">
        <f>AJ83+(AK83/100)+(AL83/10000)+0.00002</f>
        <v>3.9905200000000005</v>
      </c>
      <c r="AN83" s="12" t="s">
        <v>185</v>
      </c>
      <c r="AO83" s="11" t="s">
        <v>31</v>
      </c>
      <c r="AP83" s="114">
        <f>Z$7+Q$15+G$15</f>
        <v>0</v>
      </c>
      <c r="AQ83" s="114">
        <f>AR83-T$7-K$15-D$15</f>
        <v>-10</v>
      </c>
      <c r="AR83" s="114">
        <f>V$7+M$15+B$15</f>
        <v>1</v>
      </c>
      <c r="AS83" s="114">
        <f>AP83+(AQ83/100)+(AR83/10000)+0.00002</f>
        <v>-9.9879999999999997E-2</v>
      </c>
      <c r="AT83" s="12" t="s">
        <v>185</v>
      </c>
      <c r="AU83" s="11" t="s">
        <v>45</v>
      </c>
      <c r="AV83" s="114">
        <f>Z$25+Q$11+G$17</f>
        <v>2</v>
      </c>
      <c r="AW83" s="114">
        <f>AX83-T$25-K$11-D$17</f>
        <v>-3</v>
      </c>
      <c r="AX83" s="114">
        <f>V$25+M$11+B$17</f>
        <v>5</v>
      </c>
      <c r="AY83" s="11">
        <f>AV83+(AW83/100)+(AX83/10000)+0.00002</f>
        <v>1.9705199999999998</v>
      </c>
      <c r="AZ83" s="11"/>
      <c r="BA83" s="11"/>
      <c r="BB83" s="12" t="s">
        <v>185</v>
      </c>
      <c r="BC83" s="11" t="str">
        <f>AI$4</f>
        <v>Canadá</v>
      </c>
      <c r="BD83" s="11">
        <f t="shared" ref="BD83:BF83" si="192">AJ$4</f>
        <v>4</v>
      </c>
      <c r="BE83" s="11">
        <f t="shared" si="192"/>
        <v>-1</v>
      </c>
      <c r="BF83" s="11">
        <f t="shared" si="192"/>
        <v>3</v>
      </c>
      <c r="BG83" s="12">
        <f>BD83+(BE83/100)+(BF83/10000)+0.000011</f>
        <v>3.9903110000000006</v>
      </c>
      <c r="BH83" s="11" t="s">
        <v>186</v>
      </c>
    </row>
    <row r="84" spans="1:60">
      <c r="A84" s="80" t="str">
        <f>AC33</f>
        <v>Portugal</v>
      </c>
      <c r="B84" s="2">
        <v>2</v>
      </c>
      <c r="C84" s="99" t="s">
        <v>12</v>
      </c>
      <c r="D84" s="4">
        <v>2</v>
      </c>
      <c r="E84" s="83" t="str">
        <f>AI33</f>
        <v>Croácia</v>
      </c>
      <c r="F84" s="8" t="s">
        <v>73</v>
      </c>
      <c r="J84" s="80" t="str">
        <f>IF(B90 = "", "", IF(B90 &gt; D90, A90, IF(D90 &gt; B90, E90, IF(D91 &gt; B91, E90, A90))))</f>
        <v>Costa do Marfim</v>
      </c>
      <c r="K84" s="1">
        <v>1</v>
      </c>
      <c r="L84" s="99" t="s">
        <v>12</v>
      </c>
      <c r="M84">
        <v>2</v>
      </c>
      <c r="N84" s="83" t="str">
        <f>IF(B96 = "", "", IF(B96 &gt; D96, A96, IF(D96 &gt; B96, E96, IF(D97 &gt; B97, E96, A96))))</f>
        <v>Colômbia</v>
      </c>
      <c r="O84" s="8" t="s">
        <v>57</v>
      </c>
      <c r="S84" s="118" t="s">
        <v>187</v>
      </c>
      <c r="T84" s="118"/>
      <c r="U84" s="118"/>
      <c r="V84" s="118"/>
      <c r="W84" s="118"/>
      <c r="X84" s="3">
        <v>46217</v>
      </c>
      <c r="AB84" s="12"/>
      <c r="AC84" s="12"/>
      <c r="AD84" s="114"/>
      <c r="AE84" s="114"/>
      <c r="AF84" s="114"/>
      <c r="AG84" s="13"/>
      <c r="AH84" s="12"/>
      <c r="AI84" s="11"/>
      <c r="AJ84" s="114"/>
      <c r="AK84" s="114"/>
      <c r="AL84" s="114"/>
      <c r="AM84" s="114"/>
      <c r="AN84" s="12"/>
      <c r="AO84" s="14"/>
      <c r="AP84" s="114"/>
      <c r="AQ84" s="114"/>
      <c r="AR84" s="114"/>
      <c r="AS84" s="114"/>
      <c r="AT84" s="12"/>
      <c r="AU84" s="11"/>
      <c r="AV84" s="114"/>
      <c r="AW84" s="114"/>
      <c r="AX84" s="114"/>
      <c r="AY84" s="11"/>
      <c r="AZ84" s="11"/>
      <c r="BA84" s="11"/>
      <c r="BB84" s="12" t="s">
        <v>188</v>
      </c>
      <c r="BC84" s="11" t="str">
        <f>AI$16</f>
        <v>Suécia</v>
      </c>
      <c r="BD84" s="11">
        <f>AJ$16</f>
        <v>4</v>
      </c>
      <c r="BE84" s="11">
        <f>AK$16</f>
        <v>-1</v>
      </c>
      <c r="BF84" s="11">
        <f>AL$16</f>
        <v>4</v>
      </c>
      <c r="BG84" s="12">
        <f>BD84+(BE84/100)+(BF84/10000)+0.000007</f>
        <v>3.9904070000000003</v>
      </c>
      <c r="BH84" s="11" t="s">
        <v>189</v>
      </c>
    </row>
    <row r="85" spans="1:60">
      <c r="A85" s="81" t="s">
        <v>156</v>
      </c>
      <c r="B85" s="2">
        <v>4</v>
      </c>
      <c r="C85" s="99" t="s">
        <v>157</v>
      </c>
      <c r="D85" s="4">
        <v>2</v>
      </c>
      <c r="E85" s="83"/>
      <c r="J85" s="81" t="s">
        <v>156</v>
      </c>
      <c r="L85" s="99" t="s">
        <v>157</v>
      </c>
      <c r="N85" s="83"/>
      <c r="S85" s="86" t="str">
        <f>IF(K90 = "", "", IF(K90 &gt; M90, J90, IF(M90 &gt; K90, N90, IF(M91 &gt; K91, N90, J90))))</f>
        <v>França</v>
      </c>
      <c r="T85" s="1">
        <v>3</v>
      </c>
      <c r="U85" s="115" t="s">
        <v>12</v>
      </c>
      <c r="V85" s="4">
        <v>0</v>
      </c>
      <c r="W85" s="88" t="str">
        <f>IF(K93 = "", "", IF(K93 &gt; M93, J93, IF(M93 &gt; K93, N93, IF(M94 &gt; K94, N93, J93))))</f>
        <v>Portugal</v>
      </c>
      <c r="X85" s="7">
        <v>0.66666666666666663</v>
      </c>
      <c r="AB85" s="12"/>
      <c r="AC85" s="114" t="s">
        <v>49</v>
      </c>
      <c r="AD85" s="114" t="s">
        <v>4</v>
      </c>
      <c r="AE85" s="114" t="s">
        <v>5</v>
      </c>
      <c r="AF85" s="114" t="s">
        <v>6</v>
      </c>
      <c r="AG85" s="13"/>
      <c r="AH85" s="12"/>
      <c r="AI85" s="114" t="s">
        <v>50</v>
      </c>
      <c r="AJ85" s="114" t="s">
        <v>4</v>
      </c>
      <c r="AK85" s="114" t="s">
        <v>5</v>
      </c>
      <c r="AL85" s="114" t="s">
        <v>6</v>
      </c>
      <c r="AM85" s="114"/>
      <c r="AN85" s="12"/>
      <c r="AO85" s="114" t="s">
        <v>74</v>
      </c>
      <c r="AP85" s="114" t="s">
        <v>4</v>
      </c>
      <c r="AQ85" s="114" t="s">
        <v>5</v>
      </c>
      <c r="AR85" s="114" t="s">
        <v>6</v>
      </c>
      <c r="AS85" s="114"/>
      <c r="AT85" s="12"/>
      <c r="AU85" s="114" t="s">
        <v>75</v>
      </c>
      <c r="AV85" s="114" t="s">
        <v>4</v>
      </c>
      <c r="AW85" s="114" t="s">
        <v>5</v>
      </c>
      <c r="AX85" s="114" t="s">
        <v>6</v>
      </c>
      <c r="AY85" s="11"/>
      <c r="AZ85" s="11"/>
      <c r="BA85" s="11"/>
      <c r="BB85" s="12" t="s">
        <v>190</v>
      </c>
      <c r="BC85" s="11" t="str">
        <f>AI$28</f>
        <v>Áustria</v>
      </c>
      <c r="BD85" s="11">
        <f>AJ$28</f>
        <v>1</v>
      </c>
      <c r="BE85" s="11">
        <f>AK$28</f>
        <v>-4</v>
      </c>
      <c r="BF85" s="11">
        <f>AL$28</f>
        <v>3</v>
      </c>
      <c r="BG85" s="12">
        <f>BD85+(BE85/100)+(BF85/10000)+0.000003</f>
        <v>0.96030299999999991</v>
      </c>
      <c r="BH85" s="11" t="s">
        <v>191</v>
      </c>
    </row>
    <row r="86" spans="1:60">
      <c r="A86" s="121" t="s">
        <v>192</v>
      </c>
      <c r="B86" s="121"/>
      <c r="C86" s="121"/>
      <c r="D86" s="121"/>
      <c r="E86" s="121"/>
      <c r="F86" s="10">
        <v>46205</v>
      </c>
      <c r="J86" s="80"/>
      <c r="K86" s="82"/>
      <c r="L86" s="82"/>
      <c r="M86" s="83"/>
      <c r="N86" s="83"/>
      <c r="O86" s="10"/>
      <c r="S86" s="86"/>
      <c r="U86" s="115" t="s">
        <v>157</v>
      </c>
      <c r="W86" s="88"/>
      <c r="AB86" s="12" t="s">
        <v>176</v>
      </c>
      <c r="AC86" s="11" t="s">
        <v>65</v>
      </c>
      <c r="AD86" s="114">
        <f>G$19+P$21+Z$17</f>
        <v>7</v>
      </c>
      <c r="AE86" s="114">
        <f>AF86-T$17-M$21-D$19</f>
        <v>8</v>
      </c>
      <c r="AF86" s="114">
        <f>V$17+K$21+B$19</f>
        <v>11</v>
      </c>
      <c r="AG86" s="13">
        <f>AD86+(AE86/100)+(AF86/10000)+0.00004</f>
        <v>7.0811400000000004</v>
      </c>
      <c r="AH86" s="12" t="s">
        <v>176</v>
      </c>
      <c r="AI86" s="11" t="s">
        <v>70</v>
      </c>
      <c r="AJ86" s="114">
        <f>Z$19+P$19+G$21</f>
        <v>5</v>
      </c>
      <c r="AK86" s="114">
        <f>AL86-M$19-D$21-T$19</f>
        <v>1</v>
      </c>
      <c r="AL86" s="114">
        <f>V$19+K$19+B$21</f>
        <v>4</v>
      </c>
      <c r="AM86" s="13">
        <f>AJ86+(AK86/100)+(AL86/10000)+0.00004</f>
        <v>5.01044</v>
      </c>
      <c r="AN86" s="12" t="s">
        <v>176</v>
      </c>
      <c r="AO86" s="11" t="s">
        <v>100</v>
      </c>
      <c r="AP86" s="114">
        <f>Z$35+P$29+G$29</f>
        <v>9</v>
      </c>
      <c r="AQ86" s="114">
        <f>AR86-T$35-M$29-D$29</f>
        <v>7</v>
      </c>
      <c r="AR86" s="114">
        <f>V$35+K$29+B$29</f>
        <v>8</v>
      </c>
      <c r="AS86" s="114">
        <f>AP86+(AQ86/100)+(AR86/10000)+0.00004</f>
        <v>9.0708400000000005</v>
      </c>
      <c r="AT86" s="12" t="s">
        <v>176</v>
      </c>
      <c r="AU86" s="11" t="s">
        <v>92</v>
      </c>
      <c r="AV86" s="114">
        <f>Z$33+P$27+G$27</f>
        <v>7</v>
      </c>
      <c r="AW86" s="114">
        <f>AX86-T$33-M$27-D$27</f>
        <v>4</v>
      </c>
      <c r="AX86" s="114">
        <f>V$33+K$27+B$27</f>
        <v>6</v>
      </c>
      <c r="AY86" s="11">
        <f>AV86+(AW86/100)+(AX86/10000)+0.00004</f>
        <v>7.0406400000000007</v>
      </c>
      <c r="AZ86" s="11"/>
      <c r="BA86" s="11"/>
      <c r="BB86" s="12" t="s">
        <v>193</v>
      </c>
      <c r="BC86" s="11" t="str">
        <f>AC$10</f>
        <v>Escócia</v>
      </c>
      <c r="BD86" s="11">
        <f>AD$10</f>
        <v>3</v>
      </c>
      <c r="BE86" s="11">
        <f>AE$10</f>
        <v>0</v>
      </c>
      <c r="BF86" s="11">
        <f>AF$10</f>
        <v>5</v>
      </c>
      <c r="BG86" s="12">
        <f>BD86+(BE86/100)+(BF86/10000)+0.00001</f>
        <v>3.0005100000000002</v>
      </c>
      <c r="BH86" s="11" t="s">
        <v>194</v>
      </c>
    </row>
    <row r="87" spans="1:60">
      <c r="A87" s="80" t="str">
        <f>AI20</f>
        <v>Espanha</v>
      </c>
      <c r="B87" s="2">
        <v>4</v>
      </c>
      <c r="C87" s="99" t="s">
        <v>12</v>
      </c>
      <c r="D87" s="4">
        <v>0</v>
      </c>
      <c r="E87" s="83" t="str">
        <f>AI27</f>
        <v>Argélia</v>
      </c>
      <c r="F87" s="8" t="s">
        <v>14</v>
      </c>
      <c r="O87" s="8"/>
      <c r="S87" s="118" t="s">
        <v>195</v>
      </c>
      <c r="T87" s="118"/>
      <c r="U87" s="118"/>
      <c r="V87" s="118"/>
      <c r="W87" s="118"/>
      <c r="X87" s="3">
        <v>46218</v>
      </c>
      <c r="AB87" s="12" t="s">
        <v>178</v>
      </c>
      <c r="AC87" s="11" t="s">
        <v>56</v>
      </c>
      <c r="AD87" s="114">
        <f>Z$15+Q$21+G$23</f>
        <v>3</v>
      </c>
      <c r="AE87" s="114">
        <f>AF87-T$15-K$21-D$23</f>
        <v>-1</v>
      </c>
      <c r="AF87" s="114">
        <f>V$15+M$21+B$23</f>
        <v>4</v>
      </c>
      <c r="AG87" s="13">
        <f>AD87+(AE87/100)+(AF87/10000)+0.00002</f>
        <v>2.9904200000000003</v>
      </c>
      <c r="AH87" s="12" t="s">
        <v>178</v>
      </c>
      <c r="AI87" s="11" t="s">
        <v>79</v>
      </c>
      <c r="AJ87" s="114">
        <f>Y$21+Q$25+H$21</f>
        <v>7</v>
      </c>
      <c r="AK87" s="114">
        <f>AL87-V$21-K$25-B$21</f>
        <v>3</v>
      </c>
      <c r="AL87" s="114">
        <f>M$25+T$21+D$21</f>
        <v>6</v>
      </c>
      <c r="AM87" s="114">
        <f>AJ87+(AK87/100)+(AL87/10000)+0.00003</f>
        <v>7.0306300000000004</v>
      </c>
      <c r="AN87" s="12" t="s">
        <v>178</v>
      </c>
      <c r="AO87" s="11" t="s">
        <v>102</v>
      </c>
      <c r="AP87" s="114">
        <f>Z$37+Q$29+G$33</f>
        <v>1</v>
      </c>
      <c r="AQ87" s="114">
        <f>AR87-T$37-K$29-D$33</f>
        <v>-3</v>
      </c>
      <c r="AR87" s="114">
        <f>V$37+M$29+B$33</f>
        <v>1</v>
      </c>
      <c r="AS87" s="114">
        <f>AP87+(AQ87/100)+(AR87/10000)+0.00002</f>
        <v>0.97011999999999998</v>
      </c>
      <c r="AT87" s="12" t="s">
        <v>178</v>
      </c>
      <c r="AU87" s="11" t="s">
        <v>108</v>
      </c>
      <c r="AV87" s="114">
        <f>Y$33+P$31+H$31</f>
        <v>5</v>
      </c>
      <c r="AW87" s="114">
        <f>AX87-V$33-M$31-B$31</f>
        <v>3</v>
      </c>
      <c r="AX87" s="114">
        <f>T$33+K$31+D$31</f>
        <v>5</v>
      </c>
      <c r="AY87" s="11">
        <f>AV87+(AW87/100)+(AX87/10000)+0.00001</f>
        <v>5.0305099999999996</v>
      </c>
      <c r="AZ87" s="11"/>
      <c r="BA87" s="11"/>
      <c r="BB87" s="12" t="s">
        <v>196</v>
      </c>
      <c r="BC87" s="11" t="str">
        <f>AC$22</f>
        <v>Irã</v>
      </c>
      <c r="BD87" s="11">
        <f>AD$22</f>
        <v>1</v>
      </c>
      <c r="BE87" s="11">
        <f>AE$22</f>
        <v>-3</v>
      </c>
      <c r="BF87" s="11">
        <f>AF$22</f>
        <v>1</v>
      </c>
      <c r="BG87" s="12">
        <f>BD87+(BE87/100)+(BF87/10000)+0.000006</f>
        <v>0.97010599999999991</v>
      </c>
      <c r="BH87" s="11" t="s">
        <v>197</v>
      </c>
    </row>
    <row r="88" spans="1:60">
      <c r="A88" s="81" t="s">
        <v>156</v>
      </c>
      <c r="C88" s="99" t="s">
        <v>157</v>
      </c>
      <c r="E88" s="83"/>
      <c r="J88" s="117" t="s">
        <v>198</v>
      </c>
      <c r="K88" s="117"/>
      <c r="L88" s="117"/>
      <c r="M88" s="117"/>
      <c r="N88" s="117"/>
      <c r="S88" s="86" t="str">
        <f>IF(K96 = "", "", IF(K96 &gt; M96, J96, IF(M96 &gt; K96, N96, IF(M97 &gt; K97, N96, J96))))</f>
        <v>Brasil</v>
      </c>
      <c r="T88" s="1">
        <v>2</v>
      </c>
      <c r="U88" s="115" t="s">
        <v>12</v>
      </c>
      <c r="V88" s="4">
        <v>2</v>
      </c>
      <c r="W88" s="88" t="str">
        <f>IF(K99 = "", "", IF(K99 &gt; M99, J99, IF(M99 &gt; K99, N99, IF(M100 &gt; K100, N99, J99))))</f>
        <v>Colômbia</v>
      </c>
      <c r="X88" s="7">
        <v>0.66666666666666663</v>
      </c>
      <c r="AB88" s="12" t="s">
        <v>180</v>
      </c>
      <c r="AC88" s="11" t="s">
        <v>64</v>
      </c>
      <c r="AD88" s="114">
        <f>Y$17+P$23+H$23</f>
        <v>7</v>
      </c>
      <c r="AE88" s="114">
        <f>AF88-V$17-M$23-B$23</f>
        <v>6</v>
      </c>
      <c r="AF88" s="114">
        <f>T$17+K$23+D$23</f>
        <v>8</v>
      </c>
      <c r="AG88" s="13">
        <f>AD88+(AE88/100)+(AF88/10000)+0.00001</f>
        <v>7.0608099999999991</v>
      </c>
      <c r="AH88" s="12" t="s">
        <v>180</v>
      </c>
      <c r="AI88" s="11" t="s">
        <v>71</v>
      </c>
      <c r="AJ88" s="114">
        <f>G$25+Z$21+Q$19</f>
        <v>4</v>
      </c>
      <c r="AK88" s="114">
        <f>AL88-T$21-K$19-D$25</f>
        <v>-1</v>
      </c>
      <c r="AL88" s="114">
        <f>V$21+M$19+B$25</f>
        <v>4</v>
      </c>
      <c r="AM88" s="114">
        <f>AJ88+(AK88/100)+(AL88/10000)+0.00002</f>
        <v>3.9904200000000003</v>
      </c>
      <c r="AN88" s="12" t="s">
        <v>180</v>
      </c>
      <c r="AO88" s="11" t="s">
        <v>101</v>
      </c>
      <c r="AP88" s="114">
        <f>Y$37+Q$33+H$29</f>
        <v>6</v>
      </c>
      <c r="AQ88" s="114">
        <f>AR88-V$37-K$33-B$29</f>
        <v>0</v>
      </c>
      <c r="AR88" s="114">
        <f>T$37+M$33+D$29</f>
        <v>2</v>
      </c>
      <c r="AS88" s="114">
        <f>AP88+(AQ88/100)+(AR88/10000)+0.00003</f>
        <v>6.0002300000000002</v>
      </c>
      <c r="AT88" s="12" t="s">
        <v>180</v>
      </c>
      <c r="AU88" s="11" t="s">
        <v>94</v>
      </c>
      <c r="AV88" s="114">
        <f>Z$31+Q$27+G$31</f>
        <v>4</v>
      </c>
      <c r="AW88" s="114">
        <f>AX88-T$31-K$27-D$31</f>
        <v>2</v>
      </c>
      <c r="AX88" s="114">
        <f>V$31+M$27+B$31</f>
        <v>5</v>
      </c>
      <c r="AY88" s="11">
        <f>AV88+(AW88/100)+(AX88/10000)+0.00002</f>
        <v>4.0205199999999994</v>
      </c>
      <c r="AZ88" s="11"/>
      <c r="BA88" s="11"/>
      <c r="BB88" s="12" t="s">
        <v>199</v>
      </c>
      <c r="BC88" s="11" t="str">
        <f>AC$34</f>
        <v>Uzbequistão</v>
      </c>
      <c r="BD88" s="11">
        <f>AD$34</f>
        <v>1</v>
      </c>
      <c r="BE88" s="11">
        <f>AE$34</f>
        <v>-8</v>
      </c>
      <c r="BF88" s="11">
        <f>AF$34</f>
        <v>2</v>
      </c>
      <c r="BG88" s="12">
        <f>BD88+(BE88/100)+(BF88/10000)+0.000002</f>
        <v>0.92020199999999996</v>
      </c>
      <c r="BH88" s="11" t="s">
        <v>200</v>
      </c>
    </row>
    <row r="89" spans="1:60">
      <c r="A89" s="121" t="s">
        <v>201</v>
      </c>
      <c r="B89" s="121"/>
      <c r="C89" s="121"/>
      <c r="D89" s="121"/>
      <c r="E89" s="121"/>
      <c r="F89" s="10">
        <v>46206</v>
      </c>
      <c r="J89" s="118" t="s">
        <v>202</v>
      </c>
      <c r="K89" s="118"/>
      <c r="L89" s="118"/>
      <c r="M89" s="118"/>
      <c r="N89" s="118"/>
      <c r="O89" s="10">
        <v>46212</v>
      </c>
      <c r="S89" s="86"/>
      <c r="T89" s="1">
        <v>2</v>
      </c>
      <c r="U89" s="115" t="s">
        <v>157</v>
      </c>
      <c r="V89" s="4">
        <v>4</v>
      </c>
      <c r="W89" s="88"/>
      <c r="AB89" s="12" t="s">
        <v>185</v>
      </c>
      <c r="AC89" s="11" t="s">
        <v>55</v>
      </c>
      <c r="AD89" s="114">
        <f>H$19+Q$23+Y$15</f>
        <v>0</v>
      </c>
      <c r="AE89" s="114">
        <f>AF89-V$15-K$23-B$19</f>
        <v>-13</v>
      </c>
      <c r="AF89" s="114">
        <f>T$15+M$23+D$19</f>
        <v>0</v>
      </c>
      <c r="AG89" s="13">
        <f>AD89+(AE89/100)+(AF89/10000)+0.00003</f>
        <v>-0.12997</v>
      </c>
      <c r="AH89" s="12" t="s">
        <v>185</v>
      </c>
      <c r="AI89" s="11" t="s">
        <v>72</v>
      </c>
      <c r="AJ89" s="114">
        <f>Y$19+P$25+H$25</f>
        <v>0</v>
      </c>
      <c r="AK89" s="114">
        <f>AL89-V$19-M$25-B$25</f>
        <v>-3</v>
      </c>
      <c r="AL89" s="114">
        <f>T$19+K$25+D$25</f>
        <v>1</v>
      </c>
      <c r="AM89" s="114">
        <f>AJ89+(AK89/100)+(AL89/10000)+0.00001</f>
        <v>-2.989E-2</v>
      </c>
      <c r="AN89" s="12" t="s">
        <v>185</v>
      </c>
      <c r="AO89" s="11" t="s">
        <v>114</v>
      </c>
      <c r="AP89" s="114">
        <f>Y$35+P$33+H$33</f>
        <v>1</v>
      </c>
      <c r="AQ89" s="114">
        <f>AR89-V$35-M$33-B$33</f>
        <v>-4</v>
      </c>
      <c r="AR89" s="114">
        <f>T$35+K$33+D$33</f>
        <v>0</v>
      </c>
      <c r="AS89" s="114">
        <f>AP89+(AQ89/100)+(AR89/10000)+0.00001</f>
        <v>0.96000999999999992</v>
      </c>
      <c r="AT89" s="12" t="s">
        <v>185</v>
      </c>
      <c r="AU89" s="11" t="s">
        <v>93</v>
      </c>
      <c r="AV89" s="114">
        <f>Y$31+Q$31+H$27</f>
        <v>0</v>
      </c>
      <c r="AW89" s="114">
        <f>AX89-V$31-K$31-B$27</f>
        <v>-9</v>
      </c>
      <c r="AX89" s="114">
        <f>T$31+M$31+D$27</f>
        <v>0</v>
      </c>
      <c r="AY89" s="11">
        <f>AV89+(AW89/100)+(AX89/10000)+0.00003</f>
        <v>-8.9969999999999994E-2</v>
      </c>
      <c r="AZ89" s="11"/>
      <c r="BA89" s="11"/>
      <c r="BB89" s="12" t="s">
        <v>203</v>
      </c>
      <c r="BC89" s="11" t="str">
        <f>AI$10</f>
        <v>Austrália</v>
      </c>
      <c r="BD89" s="11">
        <f>AJ$10</f>
        <v>2</v>
      </c>
      <c r="BE89" s="11">
        <f>AK$10</f>
        <v>-3</v>
      </c>
      <c r="BF89" s="11">
        <f>AL$10</f>
        <v>5</v>
      </c>
      <c r="BG89" s="12">
        <f>BD89+(BE89/100)+(BF89/10000)+0.000009</f>
        <v>1.9705089999999998</v>
      </c>
      <c r="BH89" s="11" t="s">
        <v>204</v>
      </c>
    </row>
    <row r="90" spans="1:60">
      <c r="A90" s="80" t="str">
        <f>AI2</f>
        <v>Suíça</v>
      </c>
      <c r="B90" s="2">
        <v>1</v>
      </c>
      <c r="C90" s="99" t="s">
        <v>12</v>
      </c>
      <c r="D90" s="4">
        <v>2</v>
      </c>
      <c r="E90" s="83" t="str">
        <f>INDEX($AC$38:$AC$49, MATCH( RIGHT(INDEX(Matriz!C:C, MATCH(BI1, Matriz!J:J, 0)), 1), $AG$38:$AG$49, 0))</f>
        <v>Costa do Marfim</v>
      </c>
      <c r="F90" s="8" t="s">
        <v>63</v>
      </c>
      <c r="J90" s="86" t="str">
        <f>IF(K63 = "", "", IF(K63 &gt; M63, J63, IF(M63 &gt; K63, N63, IF(M64 &gt; K64, N63, J63))))</f>
        <v>França</v>
      </c>
      <c r="K90" s="1">
        <v>2</v>
      </c>
      <c r="L90" s="115" t="s">
        <v>12</v>
      </c>
      <c r="M90">
        <v>0</v>
      </c>
      <c r="N90" s="88" t="str">
        <f>IF(K66 = "", "", IF(K66 &gt; M66, J66, IF(M66 &gt; K66, N66, IF(M67 &gt; K67, N66, J66))))</f>
        <v>Japão</v>
      </c>
      <c r="O90" s="8" t="s">
        <v>57</v>
      </c>
      <c r="S90" s="86"/>
      <c r="T90" s="87"/>
      <c r="U90" s="86"/>
      <c r="V90" s="89"/>
      <c r="W90" s="88"/>
      <c r="AB90" s="12"/>
      <c r="AC90" s="12"/>
      <c r="AD90" s="114"/>
      <c r="AE90" s="114"/>
      <c r="AF90" s="114"/>
      <c r="AG90" s="13"/>
      <c r="AH90" s="12"/>
      <c r="AI90" s="11"/>
      <c r="AJ90" s="114"/>
      <c r="AK90" s="114"/>
      <c r="AL90" s="114"/>
      <c r="AM90" s="114"/>
      <c r="AN90" s="12"/>
      <c r="AO90" s="14"/>
      <c r="AP90" s="114"/>
      <c r="AQ90" s="114"/>
      <c r="AR90" s="114"/>
      <c r="AS90" s="114"/>
      <c r="AT90" s="12"/>
      <c r="AU90" s="11"/>
      <c r="AV90" s="114"/>
      <c r="AW90" s="114"/>
      <c r="AX90" s="114"/>
      <c r="AY90" s="11"/>
      <c r="AZ90" s="11"/>
      <c r="BA90" s="11"/>
      <c r="BB90" s="12" t="s">
        <v>205</v>
      </c>
      <c r="BC90" s="11" t="str">
        <f>AI$22</f>
        <v>Arábia Saudita</v>
      </c>
      <c r="BD90" s="11">
        <f>AJ$22</f>
        <v>4</v>
      </c>
      <c r="BE90" s="11">
        <f>AK$22</f>
        <v>2</v>
      </c>
      <c r="BF90" s="11">
        <f>AL$22</f>
        <v>5</v>
      </c>
      <c r="BG90" s="12">
        <f>BD90+(BE90/100)+(BF90/10000)+0.000005</f>
        <v>4.0205049999999991</v>
      </c>
      <c r="BH90" s="11" t="s">
        <v>206</v>
      </c>
    </row>
    <row r="91" spans="1:60">
      <c r="A91" s="81" t="s">
        <v>156</v>
      </c>
      <c r="C91" s="99" t="s">
        <v>157</v>
      </c>
      <c r="E91" s="83"/>
      <c r="J91" s="86" t="s">
        <v>156</v>
      </c>
      <c r="L91" s="115" t="s">
        <v>157</v>
      </c>
      <c r="N91" s="88"/>
      <c r="AB91" s="12"/>
      <c r="AC91" s="114" t="s">
        <v>87</v>
      </c>
      <c r="AD91" s="114" t="s">
        <v>4</v>
      </c>
      <c r="AE91" s="114" t="s">
        <v>5</v>
      </c>
      <c r="AF91" s="114" t="s">
        <v>6</v>
      </c>
      <c r="AG91" s="13"/>
      <c r="AH91" s="12"/>
      <c r="AI91" s="114" t="s">
        <v>88</v>
      </c>
      <c r="AJ91" s="114" t="s">
        <v>4</v>
      </c>
      <c r="AK91" s="114" t="s">
        <v>5</v>
      </c>
      <c r="AL91" s="114" t="s">
        <v>6</v>
      </c>
      <c r="AM91" s="114"/>
      <c r="AN91" s="12"/>
      <c r="AO91" s="114" t="s">
        <v>109</v>
      </c>
      <c r="AP91" s="114" t="s">
        <v>4</v>
      </c>
      <c r="AQ91" s="114" t="s">
        <v>5</v>
      </c>
      <c r="AR91" s="114" t="s">
        <v>6</v>
      </c>
      <c r="AS91" s="114"/>
      <c r="AT91" s="12"/>
      <c r="AU91" s="114" t="s">
        <v>110</v>
      </c>
      <c r="AV91" s="114" t="s">
        <v>4</v>
      </c>
      <c r="AW91" s="114" t="s">
        <v>5</v>
      </c>
      <c r="AX91" s="114" t="s">
        <v>6</v>
      </c>
      <c r="AY91" s="11"/>
      <c r="AZ91" s="11"/>
      <c r="BA91" s="11"/>
      <c r="BB91" s="12" t="s">
        <v>207</v>
      </c>
      <c r="BC91" s="11" t="str">
        <f>AI$34</f>
        <v>Gana</v>
      </c>
      <c r="BD91" s="11">
        <f>AJ$34</f>
        <v>3</v>
      </c>
      <c r="BE91" s="11">
        <f>AK$34</f>
        <v>-8</v>
      </c>
      <c r="BF91" s="11">
        <f>AL$34</f>
        <v>3</v>
      </c>
      <c r="BG91" s="12">
        <f>BD91+(BE91/100)+(BF91/10000)+0.000001</f>
        <v>2.9203010000000003</v>
      </c>
      <c r="BH91" s="11" t="s">
        <v>208</v>
      </c>
    </row>
    <row r="92" spans="1:60">
      <c r="A92" s="121" t="s">
        <v>209</v>
      </c>
      <c r="B92" s="121"/>
      <c r="C92" s="121"/>
      <c r="D92" s="121"/>
      <c r="E92" s="121"/>
      <c r="F92" s="10">
        <v>46206</v>
      </c>
      <c r="J92" s="118" t="s">
        <v>210</v>
      </c>
      <c r="K92" s="118"/>
      <c r="L92" s="118"/>
      <c r="M92" s="118"/>
      <c r="N92" s="118"/>
      <c r="O92" s="10">
        <v>46213</v>
      </c>
      <c r="S92" s="119" t="s">
        <v>211</v>
      </c>
      <c r="T92" s="119"/>
      <c r="U92" s="119"/>
      <c r="V92" s="119"/>
      <c r="W92" s="119"/>
      <c r="X92" s="10">
        <v>46221</v>
      </c>
      <c r="AB92" s="12" t="s">
        <v>176</v>
      </c>
      <c r="AC92" s="11" t="s">
        <v>96</v>
      </c>
      <c r="AD92" s="114">
        <f>Z$27+P$37+G$35</f>
        <v>9</v>
      </c>
      <c r="AE92" s="114">
        <f>AF92-T$27-D$35-M$37</f>
        <v>8</v>
      </c>
      <c r="AF92" s="114">
        <f>V$27+K$37+B$35</f>
        <v>10</v>
      </c>
      <c r="AG92" s="13">
        <f>AD92+(AE92/100)+(AF92/10000)+0.00004</f>
        <v>9.0810399999999998</v>
      </c>
      <c r="AH92" s="12" t="s">
        <v>176</v>
      </c>
      <c r="AI92" s="11" t="s">
        <v>118</v>
      </c>
      <c r="AJ92" s="114">
        <f>Z$49+P$35+G$39</f>
        <v>9</v>
      </c>
      <c r="AK92" s="114">
        <f>AL92-T$49-M$35-D$39</f>
        <v>8</v>
      </c>
      <c r="AL92" s="114">
        <f>V$49+K$35+B$39</f>
        <v>9</v>
      </c>
      <c r="AM92" s="114">
        <f>AJ92+(AK92/100)+(AL92/10000)+0.00004</f>
        <v>9.08094</v>
      </c>
      <c r="AN92" s="12" t="s">
        <v>176</v>
      </c>
      <c r="AO92" s="11" t="s">
        <v>140</v>
      </c>
      <c r="AP92" s="114">
        <f>G$43+P$43+Z$43</f>
        <v>7</v>
      </c>
      <c r="AQ92" s="114">
        <f>AR92-T$43-M$43-D$43</f>
        <v>7</v>
      </c>
      <c r="AR92" s="114">
        <f>V$43+K$43+B$43</f>
        <v>7</v>
      </c>
      <c r="AS92" s="114">
        <f>AP92+(AQ92/100)+(AR92/10000)+0.00004</f>
        <v>7.0707400000000007</v>
      </c>
      <c r="AT92" s="12" t="s">
        <v>176</v>
      </c>
      <c r="AU92" s="11" t="s">
        <v>130</v>
      </c>
      <c r="AV92" s="114">
        <f>Z$39+P$45+G$45</f>
        <v>7</v>
      </c>
      <c r="AW92" s="114">
        <f>AX92-T$39-M$45-D$45</f>
        <v>9</v>
      </c>
      <c r="AX92" s="114">
        <f>V$39+K$45+B$45</f>
        <v>9</v>
      </c>
      <c r="AY92" s="13">
        <f>AV92+(AW92/100)+(AX92/10000)+0.00004</f>
        <v>7.0909399999999998</v>
      </c>
      <c r="AZ92" s="11"/>
      <c r="BA92" s="11"/>
      <c r="BB92" s="11"/>
      <c r="BC92" s="11"/>
      <c r="BD92" s="11"/>
      <c r="BE92" s="11"/>
      <c r="BF92" s="11"/>
      <c r="BG92" s="12"/>
      <c r="BH92" s="11"/>
    </row>
    <row r="93" spans="1:60">
      <c r="A93" s="80" t="str">
        <f>AI26</f>
        <v>Argentina</v>
      </c>
      <c r="B93" s="2">
        <v>0</v>
      </c>
      <c r="C93" s="99" t="s">
        <v>12</v>
      </c>
      <c r="D93" s="4">
        <v>0</v>
      </c>
      <c r="E93" s="83" t="str">
        <f>AI21</f>
        <v>Uruguai</v>
      </c>
      <c r="F93" s="8" t="s">
        <v>29</v>
      </c>
      <c r="J93" s="86" t="str">
        <f>IF(K75 = "", "", IF(K75 &gt; M75, J75, IF(M75 &gt; K75, N75, IF(M76 &gt; K76, N75, J75))))</f>
        <v>Portugal</v>
      </c>
      <c r="K93" s="1">
        <v>1</v>
      </c>
      <c r="L93" s="115" t="s">
        <v>12</v>
      </c>
      <c r="M93">
        <v>0</v>
      </c>
      <c r="N93" s="88" t="str">
        <f>IF(K78 = "", "", IF(K78 &gt; M78, J78, IF(M78 &gt; K78, N78, IF(M79 &gt; K79, N78, J78))))</f>
        <v>Bélgica</v>
      </c>
      <c r="O93" s="8" t="s">
        <v>14</v>
      </c>
      <c r="S93" s="96" t="str">
        <f>IF(T85 = "", "", IF(T85 &lt; V85, S85, IF(V85 &lt; T85, W85, IF(T86 &lt; V86, S85, W85))))</f>
        <v>Portugal</v>
      </c>
      <c r="T93" s="1">
        <v>1</v>
      </c>
      <c r="U93" s="98" t="s">
        <v>12</v>
      </c>
      <c r="V93" s="4">
        <v>2</v>
      </c>
      <c r="W93" s="97" t="str">
        <f>IF(T88 = "", "", IF(T88 &lt; V88, S88, IF(V88 &lt; T88, W88, IF(T89 &lt; V89, S88, W88))))</f>
        <v>Brasil</v>
      </c>
      <c r="X93" s="8" t="s">
        <v>123</v>
      </c>
      <c r="AB93" s="12" t="s">
        <v>178</v>
      </c>
      <c r="AC93" s="11" t="s">
        <v>95</v>
      </c>
      <c r="AD93" s="114">
        <f>Y$27+P$39+H$37</f>
        <v>4</v>
      </c>
      <c r="AE93" s="114">
        <f>AF93-V$27-B$37-M$39</f>
        <v>1</v>
      </c>
      <c r="AF93" s="114">
        <f>T$27+K$39+D$37</f>
        <v>6</v>
      </c>
      <c r="AG93" s="13">
        <f>AD93+(AE93/100)+(AF93/10000)+0.00001</f>
        <v>4.0106099999999998</v>
      </c>
      <c r="AH93" s="12" t="s">
        <v>178</v>
      </c>
      <c r="AI93" s="11" t="s">
        <v>119</v>
      </c>
      <c r="AJ93" s="114">
        <f>Z$47+Q$35+G$41</f>
        <v>1</v>
      </c>
      <c r="AK93" s="114">
        <f>AL93-T$47-K$35-D$41</f>
        <v>-4</v>
      </c>
      <c r="AL93" s="114">
        <f>V$47+M$35+B$41</f>
        <v>3</v>
      </c>
      <c r="AM93" s="114">
        <f>AJ93+(AK93/100)+(AL93/10000)+0.00002</f>
        <v>0.96031999999999995</v>
      </c>
      <c r="AN93" s="12" t="s">
        <v>178</v>
      </c>
      <c r="AO93" s="11" t="s">
        <v>143</v>
      </c>
      <c r="AP93" s="114">
        <f>Y$43+P$49+H$49</f>
        <v>7</v>
      </c>
      <c r="AQ93" s="114">
        <f>AR93-V$43-M$49-B$49</f>
        <v>10</v>
      </c>
      <c r="AR93" s="114">
        <f>T$43+K$49+D$49</f>
        <v>10</v>
      </c>
      <c r="AS93" s="114">
        <f>AP93+(AQ93/100)+(AR93/10000)+0.00001</f>
        <v>7.1010099999999996</v>
      </c>
      <c r="AT93" s="12" t="s">
        <v>178</v>
      </c>
      <c r="AU93" s="11" t="s">
        <v>135</v>
      </c>
      <c r="AV93" s="114">
        <f>Y$41+Q$47+H$45</f>
        <v>7</v>
      </c>
      <c r="AW93" s="114">
        <f>AX93-V$41-K$47-B$45</f>
        <v>8</v>
      </c>
      <c r="AX93" s="114">
        <f>T$41+M$47+D$45</f>
        <v>8</v>
      </c>
      <c r="AY93" s="11">
        <f>AV93+(AW93/100)+(AX93/10000)+0.00003</f>
        <v>7.0808299999999997</v>
      </c>
      <c r="AZ93" s="11"/>
      <c r="BA93" s="11"/>
      <c r="BB93" s="11"/>
      <c r="BC93" s="11"/>
      <c r="BD93" s="11"/>
      <c r="BE93" s="11"/>
      <c r="BF93" s="11"/>
      <c r="BG93" s="12"/>
      <c r="BH93" s="11"/>
    </row>
    <row r="94" spans="1:60">
      <c r="A94" s="81" t="s">
        <v>156</v>
      </c>
      <c r="B94" s="2">
        <v>5</v>
      </c>
      <c r="C94" s="99" t="s">
        <v>157</v>
      </c>
      <c r="D94" s="4">
        <v>6</v>
      </c>
      <c r="E94" s="83"/>
      <c r="J94" s="86" t="s">
        <v>156</v>
      </c>
      <c r="L94" s="115" t="s">
        <v>157</v>
      </c>
      <c r="N94" s="88"/>
      <c r="S94" s="96" t="s">
        <v>156</v>
      </c>
      <c r="U94" s="98" t="s">
        <v>157</v>
      </c>
      <c r="W94" s="97"/>
      <c r="AB94" s="12" t="s">
        <v>180</v>
      </c>
      <c r="AC94" s="11" t="s">
        <v>103</v>
      </c>
      <c r="AD94" s="114">
        <f>Y$29+Q$39+H$35</f>
        <v>4</v>
      </c>
      <c r="AE94" s="114">
        <f>AF94-K$39-B$35-V$29</f>
        <v>-1</v>
      </c>
      <c r="AF94" s="114">
        <f>D$35+M$39+T$29</f>
        <v>4</v>
      </c>
      <c r="AG94" s="13">
        <f>AD94+(AE94/100)+(AF94/10000)+0.00003</f>
        <v>3.9904300000000004</v>
      </c>
      <c r="AH94" s="12" t="s">
        <v>180</v>
      </c>
      <c r="AI94" s="11" t="s">
        <v>128</v>
      </c>
      <c r="AJ94" s="114">
        <f>Y$47+Q$41+H$39</f>
        <v>6</v>
      </c>
      <c r="AK94" s="114">
        <f>AL94-V$47-K$41-B$39</f>
        <v>1</v>
      </c>
      <c r="AL94" s="114">
        <f>T$47+M$41+D$39</f>
        <v>4</v>
      </c>
      <c r="AM94" s="114">
        <f>AJ94+(AK94/100)+(AL94/10000)+0.00003</f>
        <v>6.0104299999999995</v>
      </c>
      <c r="AN94" s="12" t="s">
        <v>180</v>
      </c>
      <c r="AO94" s="11" t="s">
        <v>141</v>
      </c>
      <c r="AP94" s="114">
        <f>Y$45+Q$49+H$43</f>
        <v>1</v>
      </c>
      <c r="AQ94" s="114">
        <f>AR94-V$45-K$49-B$43</f>
        <v>-9</v>
      </c>
      <c r="AR94" s="114">
        <f>T$45+M$49+D$43</f>
        <v>2</v>
      </c>
      <c r="AS94" s="114">
        <f>AP94+(AQ94/100)+(AR94/10000)+0.00003</f>
        <v>0.91022999999999998</v>
      </c>
      <c r="AT94" s="12" t="s">
        <v>180</v>
      </c>
      <c r="AU94" s="11" t="s">
        <v>136</v>
      </c>
      <c r="AV94" s="114">
        <f>Z$41+Q$45+G$47</f>
        <v>3</v>
      </c>
      <c r="AW94" s="114">
        <f>AX94-T$41-K$45-D$47</f>
        <v>-8</v>
      </c>
      <c r="AX94" s="114">
        <f>V$41+M$45+B$47</f>
        <v>3</v>
      </c>
      <c r="AY94" s="11">
        <f>AV94+(AW94/100)+(AX94/10000)+0.00002</f>
        <v>2.9203200000000002</v>
      </c>
      <c r="AZ94" s="11"/>
      <c r="BA94" s="11"/>
      <c r="BB94" s="11"/>
      <c r="BC94" s="11"/>
      <c r="BD94" s="11"/>
      <c r="BE94" s="11"/>
      <c r="BF94" s="11"/>
      <c r="BG94" s="12"/>
      <c r="BH94" s="11"/>
    </row>
    <row r="95" spans="1:60">
      <c r="A95" s="121" t="s">
        <v>212</v>
      </c>
      <c r="B95" s="121"/>
      <c r="C95" s="121"/>
      <c r="D95" s="121"/>
      <c r="E95" s="121"/>
      <c r="F95" s="10">
        <v>46206</v>
      </c>
      <c r="J95" s="118" t="s">
        <v>213</v>
      </c>
      <c r="K95" s="118"/>
      <c r="L95" s="118"/>
      <c r="M95" s="118"/>
      <c r="N95" s="118"/>
      <c r="O95" s="10">
        <v>46214</v>
      </c>
      <c r="X95" s="10"/>
      <c r="AB95" s="12" t="s">
        <v>185</v>
      </c>
      <c r="AC95" s="11" t="s">
        <v>104</v>
      </c>
      <c r="AD95" s="114">
        <f>Z$29+Q$37+G$37</f>
        <v>0</v>
      </c>
      <c r="AE95" s="114">
        <f>AF95-T$29-K$37-D$37</f>
        <v>-8</v>
      </c>
      <c r="AF95" s="114">
        <f>V$29+M$37+B$37</f>
        <v>0</v>
      </c>
      <c r="AG95" s="13">
        <f>AD95+(AE95/100)+(AF95/10000)+0.00002</f>
        <v>-7.9979999999999996E-2</v>
      </c>
      <c r="AH95" s="12" t="s">
        <v>185</v>
      </c>
      <c r="AI95" s="11" t="s">
        <v>134</v>
      </c>
      <c r="AJ95" s="114">
        <f>Y$49+P$41+H$41</f>
        <v>1</v>
      </c>
      <c r="AK95" s="114">
        <f>AL95-V$49-M$41-B$41</f>
        <v>-5</v>
      </c>
      <c r="AL95" s="114">
        <f>T$49+D$41+K$41</f>
        <v>3</v>
      </c>
      <c r="AM95" s="114">
        <f>AJ95+(AK95/100)+(AL95/10000)+0.00001</f>
        <v>0.95030999999999988</v>
      </c>
      <c r="AN95" s="12" t="s">
        <v>185</v>
      </c>
      <c r="AO95" s="11" t="s">
        <v>142</v>
      </c>
      <c r="AP95" s="114">
        <f>Z$45+Q$43+G$49</f>
        <v>1</v>
      </c>
      <c r="AQ95" s="114">
        <f>AR95-T$45-K$43-D$49</f>
        <v>-8</v>
      </c>
      <c r="AR95" s="114">
        <f>V$45+M$43+B$49</f>
        <v>2</v>
      </c>
      <c r="AS95" s="114">
        <f>AP95+(AQ95/100)+(AR95/10000)+0.00002</f>
        <v>0.92022000000000004</v>
      </c>
      <c r="AT95" s="12" t="s">
        <v>185</v>
      </c>
      <c r="AU95" s="11" t="s">
        <v>129</v>
      </c>
      <c r="AV95" s="114">
        <f>Y$39+P$47+H$47</f>
        <v>0</v>
      </c>
      <c r="AW95" s="114">
        <f>AX95-V$39-M$47-B$47</f>
        <v>-9</v>
      </c>
      <c r="AX95" s="114">
        <f>T$39+K$47+D$47</f>
        <v>2</v>
      </c>
      <c r="AY95" s="114">
        <f>AV95+(AW95/100)+(AX95/10000)+0.00001</f>
        <v>-8.9789999999999995E-2</v>
      </c>
      <c r="AZ95" s="11"/>
      <c r="BA95" s="11"/>
      <c r="BB95" s="11"/>
      <c r="BC95" s="11"/>
      <c r="BD95" s="11"/>
      <c r="BE95" s="11"/>
      <c r="BF95" s="11"/>
      <c r="BG95" s="12"/>
      <c r="BH95" s="11"/>
    </row>
    <row r="96" spans="1:60">
      <c r="A96" s="80" t="str">
        <f>AC32</f>
        <v>Colômbia</v>
      </c>
      <c r="B96" s="2">
        <v>2</v>
      </c>
      <c r="C96" s="99" t="s">
        <v>12</v>
      </c>
      <c r="D96" s="4">
        <v>0</v>
      </c>
      <c r="E96" s="83" t="str">
        <f>INDEX($AC$38:$AC$49, MATCH( RIGHT(INDEX(Matriz!H:H, MATCH(BI1, Matriz!J:J, 0)), 1), $AG$38:$AG$49, 0))</f>
        <v>Gana</v>
      </c>
      <c r="F96" s="8" t="s">
        <v>214</v>
      </c>
      <c r="J96" s="86" t="str">
        <f>IF(K69 = "", "", IF(K69 &gt; M69, J69, IF(M69 &gt; K69, N69, IF(M70 &gt; K70, N69, J69))))</f>
        <v>Brasil</v>
      </c>
      <c r="K96" s="1">
        <v>2</v>
      </c>
      <c r="L96" s="115" t="s">
        <v>12</v>
      </c>
      <c r="M96">
        <v>1</v>
      </c>
      <c r="N96" s="88" t="str">
        <f>IF(K72 = "", "", IF(K72 &gt; M72, J72, IF(M72 &gt; K72, N72, IF(M73 &gt; K73, N72, J72))))</f>
        <v>México</v>
      </c>
      <c r="O96" s="8" t="s">
        <v>123</v>
      </c>
      <c r="AD96" s="100"/>
      <c r="AE96" s="100"/>
      <c r="AF96" s="100"/>
      <c r="AJ96" s="100"/>
      <c r="AK96" s="100"/>
      <c r="AL96" s="100"/>
      <c r="AM96" s="100"/>
      <c r="AP96" s="100"/>
      <c r="AQ96" s="100"/>
      <c r="AR96" s="100"/>
      <c r="AS96" s="100"/>
      <c r="AV96" s="100"/>
      <c r="AW96" s="100"/>
      <c r="AX96" s="100"/>
    </row>
    <row r="97" spans="1:32">
      <c r="A97" s="81" t="s">
        <v>156</v>
      </c>
      <c r="C97" s="99" t="s">
        <v>157</v>
      </c>
      <c r="E97" s="83"/>
      <c r="J97" s="86" t="s">
        <v>156</v>
      </c>
      <c r="L97" s="115" t="s">
        <v>157</v>
      </c>
      <c r="N97" s="88"/>
      <c r="AD97" s="100"/>
      <c r="AE97" s="100"/>
      <c r="AF97" s="100"/>
    </row>
    <row r="98" spans="1:32">
      <c r="A98" s="121" t="s">
        <v>215</v>
      </c>
      <c r="B98" s="121"/>
      <c r="C98" s="121"/>
      <c r="D98" s="121"/>
      <c r="E98" s="121"/>
      <c r="F98" s="10">
        <v>46206</v>
      </c>
      <c r="J98" s="118" t="s">
        <v>216</v>
      </c>
      <c r="K98" s="118"/>
      <c r="L98" s="118"/>
      <c r="M98" s="118"/>
      <c r="N98" s="118"/>
      <c r="O98" s="10">
        <v>46214</v>
      </c>
      <c r="S98" s="116" t="s">
        <v>217</v>
      </c>
      <c r="T98" s="116"/>
      <c r="U98" s="116"/>
      <c r="V98" s="116"/>
      <c r="W98" s="116"/>
      <c r="X98" s="15">
        <v>46222</v>
      </c>
      <c r="Y98" s="100"/>
      <c r="Z98" s="100"/>
      <c r="AA98" s="100"/>
      <c r="AB98" s="116" t="s">
        <v>218</v>
      </c>
      <c r="AC98" s="116"/>
      <c r="AD98" s="116"/>
      <c r="AE98" s="116"/>
      <c r="AF98" s="116"/>
    </row>
    <row r="99" spans="1:32">
      <c r="A99" s="80" t="str">
        <f>AI9</f>
        <v>Estados Unidos</v>
      </c>
      <c r="B99" s="2">
        <v>1</v>
      </c>
      <c r="C99" s="99" t="s">
        <v>12</v>
      </c>
      <c r="D99" s="4">
        <v>1</v>
      </c>
      <c r="E99" s="83" t="str">
        <f>AC21</f>
        <v>Egito</v>
      </c>
      <c r="F99" s="8" t="s">
        <v>219</v>
      </c>
      <c r="J99" s="86" t="str">
        <f>IF(K81 = "", "", IF(K81 &gt; M81, J81, IF(M81 &gt; K81, N81, IF(M82 &gt; K82, N81, J81))))</f>
        <v>Uruguai</v>
      </c>
      <c r="K99" s="1">
        <v>2</v>
      </c>
      <c r="L99" s="115" t="s">
        <v>12</v>
      </c>
      <c r="M99">
        <v>3</v>
      </c>
      <c r="N99" s="88" t="str">
        <f>IF(K84 = "", "", IF(K84 &gt; M84, J84, IF(M84 &gt; K84, N84, IF(M85 &gt; K85, N84, J84))))</f>
        <v>Colômbia</v>
      </c>
      <c r="O99" s="8" t="s">
        <v>39</v>
      </c>
      <c r="S99" s="90" t="str">
        <f>IF(T85 = "", "", IF(T85 &gt; V85, S85, IF(V85 &gt; T85, W85, IF(V86 &gt; T86, W85, S85))))</f>
        <v>França</v>
      </c>
      <c r="T99" s="1">
        <v>4</v>
      </c>
      <c r="U99" s="91" t="s">
        <v>12</v>
      </c>
      <c r="V99" s="4">
        <v>2</v>
      </c>
      <c r="W99" s="92" t="str">
        <f>IF(T88 = "", "", IF(T88 &gt; V88, S88, IF(V88 &gt; T88, W88, IF(V89 &gt; T89, W88, S88))))</f>
        <v>Colômbia</v>
      </c>
      <c r="X99" s="8" t="s">
        <v>14</v>
      </c>
      <c r="Y99" s="100"/>
      <c r="Z99" s="100"/>
      <c r="AA99" s="100"/>
      <c r="AB99" s="116" t="str">
        <f>IF(T99 = "", "", IF(T99 &gt; V99, S99, IF(V99 &gt; T99, W99, IF(V100 &gt; T100, W99, S99))))</f>
        <v>França</v>
      </c>
      <c r="AC99" s="116"/>
      <c r="AD99" s="116"/>
      <c r="AE99" s="116"/>
      <c r="AF99" s="116"/>
    </row>
    <row r="100" spans="1:32">
      <c r="A100" s="81" t="s">
        <v>156</v>
      </c>
      <c r="B100" s="2">
        <v>3</v>
      </c>
      <c r="C100" s="99" t="s">
        <v>157</v>
      </c>
      <c r="D100" s="4">
        <v>4</v>
      </c>
      <c r="E100" s="83"/>
      <c r="J100" s="86" t="s">
        <v>156</v>
      </c>
      <c r="L100" s="115" t="s">
        <v>157</v>
      </c>
      <c r="N100" s="88"/>
      <c r="S100" s="90" t="s">
        <v>156</v>
      </c>
      <c r="U100" s="91" t="s">
        <v>157</v>
      </c>
      <c r="W100" s="92"/>
      <c r="AD100" s="100"/>
      <c r="AE100" s="100"/>
      <c r="AF100" s="100"/>
    </row>
    <row r="101" spans="1:32">
      <c r="A101" s="80"/>
      <c r="B101" s="82"/>
      <c r="C101" s="82"/>
      <c r="D101" s="82"/>
      <c r="E101" s="82"/>
      <c r="J101" s="86"/>
      <c r="K101" s="87"/>
      <c r="L101" s="87"/>
      <c r="M101" s="88"/>
      <c r="N101" s="88"/>
      <c r="S101" s="85"/>
      <c r="T101" s="93"/>
      <c r="U101" s="85"/>
      <c r="V101" s="94"/>
      <c r="W101" s="95"/>
      <c r="AD101" s="100"/>
      <c r="AE101" s="100"/>
      <c r="AF101" s="100"/>
    </row>
    <row r="102" spans="1:32">
      <c r="AD102" s="100"/>
      <c r="AE102" s="100"/>
      <c r="AF102" s="100"/>
    </row>
    <row r="103" spans="1:32">
      <c r="AD103" s="100"/>
      <c r="AE103" s="100"/>
      <c r="AF103" s="100"/>
    </row>
    <row r="104" spans="1:32">
      <c r="B104" s="1"/>
      <c r="D104" s="1"/>
      <c r="E104" s="1"/>
      <c r="AD104" s="100"/>
      <c r="AE104" s="100"/>
      <c r="AF104" s="100"/>
    </row>
    <row r="105" spans="1:32">
      <c r="AD105" s="100"/>
      <c r="AE105" s="100"/>
      <c r="AF105" s="100"/>
    </row>
    <row r="106" spans="1:32">
      <c r="AD106" s="100"/>
      <c r="AE106" s="100"/>
      <c r="AF106" s="100"/>
    </row>
    <row r="107" spans="1:32">
      <c r="B107" s="1"/>
      <c r="D107" s="1"/>
      <c r="E107" s="1"/>
      <c r="AD107" s="100"/>
      <c r="AE107" s="100"/>
      <c r="AF107" s="100"/>
    </row>
    <row r="108" spans="1:32">
      <c r="AD108" s="100"/>
      <c r="AE108" s="100"/>
      <c r="AF108" s="100"/>
    </row>
    <row r="109" spans="1:32">
      <c r="AD109" s="100"/>
      <c r="AE109" s="100"/>
      <c r="AF109" s="100"/>
    </row>
    <row r="110" spans="1:32">
      <c r="A110" s="132"/>
      <c r="B110" s="132"/>
      <c r="C110" s="132"/>
      <c r="D110" s="132"/>
      <c r="E110" s="132"/>
      <c r="AD110" s="100"/>
      <c r="AE110" s="100"/>
      <c r="AF110" s="100"/>
    </row>
    <row r="111" spans="1:32">
      <c r="AD111" s="100"/>
      <c r="AE111" s="100"/>
      <c r="AF111" s="100"/>
    </row>
    <row r="112" spans="1:32">
      <c r="AD112" s="100"/>
      <c r="AE112" s="100"/>
      <c r="AF112" s="100"/>
    </row>
    <row r="113" spans="2:5">
      <c r="B113" s="1"/>
      <c r="D113" s="1"/>
      <c r="E113" s="1"/>
    </row>
    <row r="116" spans="2:5">
      <c r="B116" s="1"/>
      <c r="D116" s="1"/>
      <c r="E116" s="1"/>
    </row>
    <row r="119" spans="2:5">
      <c r="B119" s="1"/>
      <c r="D119" s="1"/>
      <c r="E119" s="1"/>
    </row>
    <row r="122" spans="2:5">
      <c r="B122" s="1"/>
      <c r="D122" s="1"/>
      <c r="E122" s="1"/>
    </row>
  </sheetData>
  <sortState xmlns:xlrd2="http://schemas.microsoft.com/office/spreadsheetml/2017/richdata2" ref="AU92:AX95">
    <sortCondition descending="1" ref="AV92:AV95"/>
    <sortCondition descending="1" ref="AW92:AW95"/>
    <sortCondition descending="1" ref="AX92:AX95"/>
  </sortState>
  <mergeCells count="116">
    <mergeCell ref="A71:E71"/>
    <mergeCell ref="A74:E74"/>
    <mergeCell ref="A77:E77"/>
    <mergeCell ref="A80:E80"/>
    <mergeCell ref="A83:E83"/>
    <mergeCell ref="A110:E110"/>
    <mergeCell ref="A86:E86"/>
    <mergeCell ref="A89:E89"/>
    <mergeCell ref="A92:E92"/>
    <mergeCell ref="A95:E95"/>
    <mergeCell ref="A98:E98"/>
    <mergeCell ref="S1:W1"/>
    <mergeCell ref="A52:E52"/>
    <mergeCell ref="A53:E53"/>
    <mergeCell ref="S30:W30"/>
    <mergeCell ref="S32:W32"/>
    <mergeCell ref="S34:W34"/>
    <mergeCell ref="S36:W36"/>
    <mergeCell ref="S38:W38"/>
    <mergeCell ref="S12:W12"/>
    <mergeCell ref="S14:W14"/>
    <mergeCell ref="S16:W16"/>
    <mergeCell ref="S18:W18"/>
    <mergeCell ref="S20:W20"/>
    <mergeCell ref="S4:W4"/>
    <mergeCell ref="S6:W6"/>
    <mergeCell ref="S8:W8"/>
    <mergeCell ref="S10:W10"/>
    <mergeCell ref="J12:N12"/>
    <mergeCell ref="J10:N10"/>
    <mergeCell ref="J8:N8"/>
    <mergeCell ref="J6:N6"/>
    <mergeCell ref="J24:N24"/>
    <mergeCell ref="A26:E26"/>
    <mergeCell ref="A28:E28"/>
    <mergeCell ref="A59:E59"/>
    <mergeCell ref="A62:E62"/>
    <mergeCell ref="A65:E65"/>
    <mergeCell ref="J62:N62"/>
    <mergeCell ref="J65:N65"/>
    <mergeCell ref="J68:N68"/>
    <mergeCell ref="A1:E1"/>
    <mergeCell ref="J1:N1"/>
    <mergeCell ref="J61:N61"/>
    <mergeCell ref="A40:E40"/>
    <mergeCell ref="A42:E42"/>
    <mergeCell ref="A44:E44"/>
    <mergeCell ref="J4:N4"/>
    <mergeCell ref="J22:N22"/>
    <mergeCell ref="J20:N20"/>
    <mergeCell ref="J18:N18"/>
    <mergeCell ref="J16:N16"/>
    <mergeCell ref="J14:N14"/>
    <mergeCell ref="J32:N32"/>
    <mergeCell ref="J30:N30"/>
    <mergeCell ref="J28:N28"/>
    <mergeCell ref="J26:N26"/>
    <mergeCell ref="A30:E30"/>
    <mergeCell ref="A32:E32"/>
    <mergeCell ref="A34:E34"/>
    <mergeCell ref="J42:N42"/>
    <mergeCell ref="J40:N40"/>
    <mergeCell ref="J38:N38"/>
    <mergeCell ref="BC79:BF79"/>
    <mergeCell ref="S26:W26"/>
    <mergeCell ref="S28:W28"/>
    <mergeCell ref="S51:W51"/>
    <mergeCell ref="S40:W40"/>
    <mergeCell ref="S42:W42"/>
    <mergeCell ref="S44:W44"/>
    <mergeCell ref="S46:W46"/>
    <mergeCell ref="S48:W48"/>
    <mergeCell ref="J34:N34"/>
    <mergeCell ref="A46:E46"/>
    <mergeCell ref="A48:E48"/>
    <mergeCell ref="J48:N48"/>
    <mergeCell ref="J46:N46"/>
    <mergeCell ref="J44:N44"/>
    <mergeCell ref="A36:E36"/>
    <mergeCell ref="A38:E38"/>
    <mergeCell ref="A68:E68"/>
    <mergeCell ref="A56:E56"/>
    <mergeCell ref="A2:E2"/>
    <mergeCell ref="S2:W2"/>
    <mergeCell ref="J2:N2"/>
    <mergeCell ref="S22:W22"/>
    <mergeCell ref="S24:W24"/>
    <mergeCell ref="A4:E4"/>
    <mergeCell ref="A6:E6"/>
    <mergeCell ref="A8:E8"/>
    <mergeCell ref="A10:E10"/>
    <mergeCell ref="A12:E12"/>
    <mergeCell ref="A14:E14"/>
    <mergeCell ref="A16:E16"/>
    <mergeCell ref="A18:E18"/>
    <mergeCell ref="A20:E20"/>
    <mergeCell ref="A22:E22"/>
    <mergeCell ref="A24:E24"/>
    <mergeCell ref="AB98:AF98"/>
    <mergeCell ref="AB99:AF99"/>
    <mergeCell ref="S83:W83"/>
    <mergeCell ref="S84:W84"/>
    <mergeCell ref="S87:W87"/>
    <mergeCell ref="S92:W92"/>
    <mergeCell ref="S98:W98"/>
    <mergeCell ref="J36:N36"/>
    <mergeCell ref="J71:N71"/>
    <mergeCell ref="J74:N74"/>
    <mergeCell ref="J80:N80"/>
    <mergeCell ref="J83:N83"/>
    <mergeCell ref="J89:N89"/>
    <mergeCell ref="J77:N77"/>
    <mergeCell ref="J88:N88"/>
    <mergeCell ref="J92:N92"/>
    <mergeCell ref="J95:N95"/>
    <mergeCell ref="J98:N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3296-FA91-43B5-8C1A-61A59CEAD189}">
  <dimension ref="A1:J496"/>
  <sheetViews>
    <sheetView workbookViewId="0">
      <selection activeCell="J1" sqref="J1"/>
    </sheetView>
  </sheetViews>
  <sheetFormatPr defaultRowHeight="15"/>
  <cols>
    <col min="10" max="10" width="13.85546875" bestFit="1" customWidth="1"/>
  </cols>
  <sheetData>
    <row r="1" spans="1:10"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</row>
    <row r="2" spans="1:10">
      <c r="A2">
        <v>1</v>
      </c>
      <c r="B2" t="s">
        <v>228</v>
      </c>
      <c r="C2" t="s">
        <v>229</v>
      </c>
      <c r="D2" t="s">
        <v>230</v>
      </c>
      <c r="E2" t="s">
        <v>231</v>
      </c>
      <c r="F2" t="s">
        <v>232</v>
      </c>
      <c r="G2" t="s">
        <v>233</v>
      </c>
      <c r="H2" t="s">
        <v>234</v>
      </c>
      <c r="I2" t="s">
        <v>235</v>
      </c>
      <c r="J2" t="str">
        <f t="shared" ref="J2:J65" si="0">COUNTIF($B2:$I2,"*A") &amp; COUNTIF($B2:$I2,"*B") &amp; COUNTIF($B2:$I2,"*C") &amp; COUNTIF($B2:$I2,"*D") &amp; COUNTIF($B2:$I2,"*E") &amp; COUNTIF($B2:$I2,"*F") &amp; COUNTIF($B2:$I2,"*G") &amp; COUNTIF($B2:$I2,"*H") &amp; COUNTIF($B2:$I2,"*I") &amp; COUNTIF($B2:$I2,"*J") &amp; COUNTIF($B2:$I2,"*K") &amp; COUNTIF($B2:$I2,"*L")</f>
        <v>000011111111</v>
      </c>
    </row>
    <row r="3" spans="1:10">
      <c r="A3">
        <v>2</v>
      </c>
      <c r="B3" t="s">
        <v>232</v>
      </c>
      <c r="C3" t="s">
        <v>233</v>
      </c>
      <c r="D3" t="s">
        <v>230</v>
      </c>
      <c r="E3" t="s">
        <v>236</v>
      </c>
      <c r="F3" t="s">
        <v>229</v>
      </c>
      <c r="G3" t="s">
        <v>231</v>
      </c>
      <c r="H3" t="s">
        <v>234</v>
      </c>
      <c r="I3" t="s">
        <v>235</v>
      </c>
      <c r="J3" t="str">
        <f t="shared" si="0"/>
        <v>000101111111</v>
      </c>
    </row>
    <row r="4" spans="1:10">
      <c r="A4">
        <v>3</v>
      </c>
      <c r="B4" t="s">
        <v>228</v>
      </c>
      <c r="C4" t="s">
        <v>229</v>
      </c>
      <c r="D4" t="s">
        <v>230</v>
      </c>
      <c r="E4" t="s">
        <v>236</v>
      </c>
      <c r="F4" t="s">
        <v>232</v>
      </c>
      <c r="G4" t="s">
        <v>233</v>
      </c>
      <c r="H4" t="s">
        <v>234</v>
      </c>
      <c r="I4" t="s">
        <v>235</v>
      </c>
      <c r="J4" t="str">
        <f t="shared" si="0"/>
        <v>000110111111</v>
      </c>
    </row>
    <row r="5" spans="1:10">
      <c r="A5">
        <v>4</v>
      </c>
      <c r="B5" t="s">
        <v>228</v>
      </c>
      <c r="C5" t="s">
        <v>229</v>
      </c>
      <c r="D5" t="s">
        <v>230</v>
      </c>
      <c r="E5" t="s">
        <v>236</v>
      </c>
      <c r="F5" t="s">
        <v>232</v>
      </c>
      <c r="G5" t="s">
        <v>231</v>
      </c>
      <c r="H5" t="s">
        <v>234</v>
      </c>
      <c r="I5" t="s">
        <v>235</v>
      </c>
      <c r="J5" t="str">
        <f t="shared" si="0"/>
        <v>000111011111</v>
      </c>
    </row>
    <row r="6" spans="1:10">
      <c r="A6">
        <v>5</v>
      </c>
      <c r="B6" t="s">
        <v>228</v>
      </c>
      <c r="C6" t="s">
        <v>233</v>
      </c>
      <c r="D6" t="s">
        <v>230</v>
      </c>
      <c r="E6" t="s">
        <v>236</v>
      </c>
      <c r="F6" t="s">
        <v>229</v>
      </c>
      <c r="G6" t="s">
        <v>231</v>
      </c>
      <c r="H6" t="s">
        <v>234</v>
      </c>
      <c r="I6" t="s">
        <v>235</v>
      </c>
      <c r="J6" t="str">
        <f t="shared" si="0"/>
        <v>000111101111</v>
      </c>
    </row>
    <row r="7" spans="1:10">
      <c r="A7">
        <v>6</v>
      </c>
      <c r="B7" t="s">
        <v>228</v>
      </c>
      <c r="C7" t="s">
        <v>233</v>
      </c>
      <c r="D7" t="s">
        <v>229</v>
      </c>
      <c r="E7" t="s">
        <v>236</v>
      </c>
      <c r="F7" t="s">
        <v>232</v>
      </c>
      <c r="G7" t="s">
        <v>231</v>
      </c>
      <c r="H7" t="s">
        <v>234</v>
      </c>
      <c r="I7" t="s">
        <v>235</v>
      </c>
      <c r="J7" t="str">
        <f t="shared" si="0"/>
        <v>000111110111</v>
      </c>
    </row>
    <row r="8" spans="1:10">
      <c r="A8">
        <v>7</v>
      </c>
      <c r="B8" t="s">
        <v>228</v>
      </c>
      <c r="C8" t="s">
        <v>233</v>
      </c>
      <c r="D8" t="s">
        <v>230</v>
      </c>
      <c r="E8" t="s">
        <v>236</v>
      </c>
      <c r="F8" t="s">
        <v>232</v>
      </c>
      <c r="G8" t="s">
        <v>231</v>
      </c>
      <c r="H8" t="s">
        <v>234</v>
      </c>
      <c r="I8" t="s">
        <v>235</v>
      </c>
      <c r="J8" t="str">
        <f t="shared" si="0"/>
        <v>000111111011</v>
      </c>
    </row>
    <row r="9" spans="1:10">
      <c r="A9">
        <v>8</v>
      </c>
      <c r="B9" t="s">
        <v>228</v>
      </c>
      <c r="C9" t="s">
        <v>233</v>
      </c>
      <c r="D9" t="s">
        <v>229</v>
      </c>
      <c r="E9" t="s">
        <v>236</v>
      </c>
      <c r="F9" t="s">
        <v>232</v>
      </c>
      <c r="G9" t="s">
        <v>231</v>
      </c>
      <c r="H9" t="s">
        <v>234</v>
      </c>
      <c r="I9" t="s">
        <v>230</v>
      </c>
      <c r="J9" t="str">
        <f t="shared" si="0"/>
        <v>000111111101</v>
      </c>
    </row>
    <row r="10" spans="1:10">
      <c r="A10">
        <v>9</v>
      </c>
      <c r="B10" t="s">
        <v>228</v>
      </c>
      <c r="C10" t="s">
        <v>233</v>
      </c>
      <c r="D10" t="s">
        <v>229</v>
      </c>
      <c r="E10" t="s">
        <v>236</v>
      </c>
      <c r="F10" t="s">
        <v>232</v>
      </c>
      <c r="G10" t="s">
        <v>231</v>
      </c>
      <c r="H10" t="s">
        <v>230</v>
      </c>
      <c r="I10" t="s">
        <v>235</v>
      </c>
      <c r="J10" t="str">
        <f t="shared" si="0"/>
        <v>000111111110</v>
      </c>
    </row>
    <row r="11" spans="1:10">
      <c r="A11">
        <v>10</v>
      </c>
      <c r="B11" t="s">
        <v>232</v>
      </c>
      <c r="C11" t="s">
        <v>233</v>
      </c>
      <c r="D11" t="s">
        <v>230</v>
      </c>
      <c r="E11" t="s">
        <v>237</v>
      </c>
      <c r="F11" t="s">
        <v>229</v>
      </c>
      <c r="G11" t="s">
        <v>231</v>
      </c>
      <c r="H11" t="s">
        <v>234</v>
      </c>
      <c r="I11" t="s">
        <v>235</v>
      </c>
      <c r="J11" t="str">
        <f t="shared" si="0"/>
        <v>001001111111</v>
      </c>
    </row>
    <row r="12" spans="1:10">
      <c r="A12">
        <v>11</v>
      </c>
      <c r="B12" t="s">
        <v>228</v>
      </c>
      <c r="C12" t="s">
        <v>229</v>
      </c>
      <c r="D12" t="s">
        <v>230</v>
      </c>
      <c r="E12" t="s">
        <v>237</v>
      </c>
      <c r="F12" t="s">
        <v>232</v>
      </c>
      <c r="G12" t="s">
        <v>233</v>
      </c>
      <c r="H12" t="s">
        <v>234</v>
      </c>
      <c r="I12" t="s">
        <v>235</v>
      </c>
      <c r="J12" t="str">
        <f t="shared" si="0"/>
        <v>001010111111</v>
      </c>
    </row>
    <row r="13" spans="1:10">
      <c r="A13">
        <v>12</v>
      </c>
      <c r="B13" t="s">
        <v>228</v>
      </c>
      <c r="C13" t="s">
        <v>229</v>
      </c>
      <c r="D13" t="s">
        <v>230</v>
      </c>
      <c r="E13" t="s">
        <v>237</v>
      </c>
      <c r="F13" t="s">
        <v>232</v>
      </c>
      <c r="G13" t="s">
        <v>231</v>
      </c>
      <c r="H13" t="s">
        <v>234</v>
      </c>
      <c r="I13" t="s">
        <v>235</v>
      </c>
      <c r="J13" t="str">
        <f t="shared" si="0"/>
        <v>001011011111</v>
      </c>
    </row>
    <row r="14" spans="1:10">
      <c r="A14">
        <v>13</v>
      </c>
      <c r="B14" t="s">
        <v>228</v>
      </c>
      <c r="C14" t="s">
        <v>233</v>
      </c>
      <c r="D14" t="s">
        <v>230</v>
      </c>
      <c r="E14" t="s">
        <v>237</v>
      </c>
      <c r="F14" t="s">
        <v>229</v>
      </c>
      <c r="G14" t="s">
        <v>231</v>
      </c>
      <c r="H14" t="s">
        <v>234</v>
      </c>
      <c r="I14" t="s">
        <v>235</v>
      </c>
      <c r="J14" t="str">
        <f t="shared" si="0"/>
        <v>001011101111</v>
      </c>
    </row>
    <row r="15" spans="1:10">
      <c r="A15">
        <v>14</v>
      </c>
      <c r="B15" t="s">
        <v>228</v>
      </c>
      <c r="C15" t="s">
        <v>233</v>
      </c>
      <c r="D15" t="s">
        <v>229</v>
      </c>
      <c r="E15" t="s">
        <v>237</v>
      </c>
      <c r="F15" t="s">
        <v>232</v>
      </c>
      <c r="G15" t="s">
        <v>231</v>
      </c>
      <c r="H15" t="s">
        <v>234</v>
      </c>
      <c r="I15" t="s">
        <v>235</v>
      </c>
      <c r="J15" t="str">
        <f t="shared" si="0"/>
        <v>001011110111</v>
      </c>
    </row>
    <row r="16" spans="1:10">
      <c r="A16">
        <v>15</v>
      </c>
      <c r="B16" t="s">
        <v>228</v>
      </c>
      <c r="C16" t="s">
        <v>233</v>
      </c>
      <c r="D16" t="s">
        <v>230</v>
      </c>
      <c r="E16" t="s">
        <v>237</v>
      </c>
      <c r="F16" t="s">
        <v>232</v>
      </c>
      <c r="G16" t="s">
        <v>231</v>
      </c>
      <c r="H16" t="s">
        <v>234</v>
      </c>
      <c r="I16" t="s">
        <v>235</v>
      </c>
      <c r="J16" t="str">
        <f t="shared" si="0"/>
        <v>001011111011</v>
      </c>
    </row>
    <row r="17" spans="1:10">
      <c r="A17">
        <v>16</v>
      </c>
      <c r="B17" t="s">
        <v>228</v>
      </c>
      <c r="C17" t="s">
        <v>233</v>
      </c>
      <c r="D17" t="s">
        <v>229</v>
      </c>
      <c r="E17" t="s">
        <v>237</v>
      </c>
      <c r="F17" t="s">
        <v>232</v>
      </c>
      <c r="G17" t="s">
        <v>231</v>
      </c>
      <c r="H17" t="s">
        <v>234</v>
      </c>
      <c r="I17" t="s">
        <v>230</v>
      </c>
      <c r="J17" t="str">
        <f t="shared" si="0"/>
        <v>001011111101</v>
      </c>
    </row>
    <row r="18" spans="1:10">
      <c r="A18">
        <v>17</v>
      </c>
      <c r="B18" t="s">
        <v>228</v>
      </c>
      <c r="C18" t="s">
        <v>233</v>
      </c>
      <c r="D18" t="s">
        <v>229</v>
      </c>
      <c r="E18" t="s">
        <v>237</v>
      </c>
      <c r="F18" t="s">
        <v>232</v>
      </c>
      <c r="G18" t="s">
        <v>231</v>
      </c>
      <c r="H18" t="s">
        <v>230</v>
      </c>
      <c r="I18" t="s">
        <v>235</v>
      </c>
      <c r="J18" t="str">
        <f t="shared" si="0"/>
        <v>001011111110</v>
      </c>
    </row>
    <row r="19" spans="1:10">
      <c r="A19">
        <v>18</v>
      </c>
      <c r="B19" t="s">
        <v>232</v>
      </c>
      <c r="C19" t="s">
        <v>233</v>
      </c>
      <c r="D19" t="s">
        <v>230</v>
      </c>
      <c r="E19" t="s">
        <v>237</v>
      </c>
      <c r="F19" t="s">
        <v>229</v>
      </c>
      <c r="G19" t="s">
        <v>236</v>
      </c>
      <c r="H19" t="s">
        <v>234</v>
      </c>
      <c r="I19" t="s">
        <v>235</v>
      </c>
      <c r="J19" t="str">
        <f t="shared" si="0"/>
        <v>001100111111</v>
      </c>
    </row>
    <row r="20" spans="1:10">
      <c r="A20">
        <v>19</v>
      </c>
      <c r="B20" t="s">
        <v>237</v>
      </c>
      <c r="C20" t="s">
        <v>229</v>
      </c>
      <c r="D20" t="s">
        <v>230</v>
      </c>
      <c r="E20" t="s">
        <v>236</v>
      </c>
      <c r="F20" t="s">
        <v>232</v>
      </c>
      <c r="G20" t="s">
        <v>231</v>
      </c>
      <c r="H20" t="s">
        <v>234</v>
      </c>
      <c r="I20" t="s">
        <v>235</v>
      </c>
      <c r="J20" t="str">
        <f t="shared" si="0"/>
        <v>001101011111</v>
      </c>
    </row>
    <row r="21" spans="1:10">
      <c r="A21">
        <v>20</v>
      </c>
      <c r="B21" t="s">
        <v>237</v>
      </c>
      <c r="C21" t="s">
        <v>233</v>
      </c>
      <c r="D21" t="s">
        <v>230</v>
      </c>
      <c r="E21" t="s">
        <v>236</v>
      </c>
      <c r="F21" t="s">
        <v>229</v>
      </c>
      <c r="G21" t="s">
        <v>231</v>
      </c>
      <c r="H21" t="s">
        <v>234</v>
      </c>
      <c r="I21" t="s">
        <v>235</v>
      </c>
      <c r="J21" t="str">
        <f t="shared" si="0"/>
        <v>001101101111</v>
      </c>
    </row>
    <row r="22" spans="1:10">
      <c r="A22">
        <v>21</v>
      </c>
      <c r="B22" t="s">
        <v>237</v>
      </c>
      <c r="C22" t="s">
        <v>233</v>
      </c>
      <c r="D22" t="s">
        <v>229</v>
      </c>
      <c r="E22" t="s">
        <v>236</v>
      </c>
      <c r="F22" t="s">
        <v>232</v>
      </c>
      <c r="G22" t="s">
        <v>231</v>
      </c>
      <c r="H22" t="s">
        <v>234</v>
      </c>
      <c r="I22" t="s">
        <v>235</v>
      </c>
      <c r="J22" t="str">
        <f t="shared" si="0"/>
        <v>001101110111</v>
      </c>
    </row>
    <row r="23" spans="1:10">
      <c r="A23">
        <v>22</v>
      </c>
      <c r="B23" t="s">
        <v>237</v>
      </c>
      <c r="C23" t="s">
        <v>233</v>
      </c>
      <c r="D23" t="s">
        <v>230</v>
      </c>
      <c r="E23" t="s">
        <v>236</v>
      </c>
      <c r="F23" t="s">
        <v>232</v>
      </c>
      <c r="G23" t="s">
        <v>231</v>
      </c>
      <c r="H23" t="s">
        <v>234</v>
      </c>
      <c r="I23" t="s">
        <v>235</v>
      </c>
      <c r="J23" t="str">
        <f t="shared" si="0"/>
        <v>001101111011</v>
      </c>
    </row>
    <row r="24" spans="1:10">
      <c r="A24">
        <v>23</v>
      </c>
      <c r="B24" t="s">
        <v>237</v>
      </c>
      <c r="C24" t="s">
        <v>233</v>
      </c>
      <c r="D24" t="s">
        <v>229</v>
      </c>
      <c r="E24" t="s">
        <v>236</v>
      </c>
      <c r="F24" t="s">
        <v>232</v>
      </c>
      <c r="G24" t="s">
        <v>231</v>
      </c>
      <c r="H24" t="s">
        <v>234</v>
      </c>
      <c r="I24" t="s">
        <v>230</v>
      </c>
      <c r="J24" t="str">
        <f t="shared" si="0"/>
        <v>001101111101</v>
      </c>
    </row>
    <row r="25" spans="1:10">
      <c r="A25">
        <v>24</v>
      </c>
      <c r="B25" t="s">
        <v>237</v>
      </c>
      <c r="C25" t="s">
        <v>233</v>
      </c>
      <c r="D25" t="s">
        <v>229</v>
      </c>
      <c r="E25" t="s">
        <v>236</v>
      </c>
      <c r="F25" t="s">
        <v>232</v>
      </c>
      <c r="G25" t="s">
        <v>231</v>
      </c>
      <c r="H25" t="s">
        <v>230</v>
      </c>
      <c r="I25" t="s">
        <v>235</v>
      </c>
      <c r="J25" t="str">
        <f t="shared" si="0"/>
        <v>001101111110</v>
      </c>
    </row>
    <row r="26" spans="1:10">
      <c r="A26">
        <v>25</v>
      </c>
      <c r="B26" t="s">
        <v>228</v>
      </c>
      <c r="C26" t="s">
        <v>229</v>
      </c>
      <c r="D26" t="s">
        <v>230</v>
      </c>
      <c r="E26" t="s">
        <v>237</v>
      </c>
      <c r="F26" t="s">
        <v>232</v>
      </c>
      <c r="G26" t="s">
        <v>236</v>
      </c>
      <c r="H26" t="s">
        <v>234</v>
      </c>
      <c r="I26" t="s">
        <v>235</v>
      </c>
      <c r="J26" t="str">
        <f t="shared" si="0"/>
        <v>001110011111</v>
      </c>
    </row>
    <row r="27" spans="1:10">
      <c r="A27">
        <v>26</v>
      </c>
      <c r="B27" t="s">
        <v>228</v>
      </c>
      <c r="C27" t="s">
        <v>233</v>
      </c>
      <c r="D27" t="s">
        <v>230</v>
      </c>
      <c r="E27" t="s">
        <v>237</v>
      </c>
      <c r="F27" t="s">
        <v>229</v>
      </c>
      <c r="G27" t="s">
        <v>236</v>
      </c>
      <c r="H27" t="s">
        <v>234</v>
      </c>
      <c r="I27" t="s">
        <v>235</v>
      </c>
      <c r="J27" t="str">
        <f t="shared" si="0"/>
        <v>001110101111</v>
      </c>
    </row>
    <row r="28" spans="1:10">
      <c r="A28">
        <v>27</v>
      </c>
      <c r="B28" t="s">
        <v>228</v>
      </c>
      <c r="C28" t="s">
        <v>233</v>
      </c>
      <c r="D28" t="s">
        <v>229</v>
      </c>
      <c r="E28" t="s">
        <v>237</v>
      </c>
      <c r="F28" t="s">
        <v>232</v>
      </c>
      <c r="G28" t="s">
        <v>236</v>
      </c>
      <c r="H28" t="s">
        <v>234</v>
      </c>
      <c r="I28" t="s">
        <v>235</v>
      </c>
      <c r="J28" t="str">
        <f t="shared" si="0"/>
        <v>001110110111</v>
      </c>
    </row>
    <row r="29" spans="1:10">
      <c r="A29">
        <v>28</v>
      </c>
      <c r="B29" t="s">
        <v>228</v>
      </c>
      <c r="C29" t="s">
        <v>233</v>
      </c>
      <c r="D29" t="s">
        <v>230</v>
      </c>
      <c r="E29" t="s">
        <v>237</v>
      </c>
      <c r="F29" t="s">
        <v>232</v>
      </c>
      <c r="G29" t="s">
        <v>236</v>
      </c>
      <c r="H29" t="s">
        <v>234</v>
      </c>
      <c r="I29" t="s">
        <v>235</v>
      </c>
      <c r="J29" t="str">
        <f t="shared" si="0"/>
        <v>001110111011</v>
      </c>
    </row>
    <row r="30" spans="1:10">
      <c r="A30">
        <v>29</v>
      </c>
      <c r="B30" t="s">
        <v>228</v>
      </c>
      <c r="C30" t="s">
        <v>233</v>
      </c>
      <c r="D30" t="s">
        <v>229</v>
      </c>
      <c r="E30" t="s">
        <v>237</v>
      </c>
      <c r="F30" t="s">
        <v>232</v>
      </c>
      <c r="G30" t="s">
        <v>236</v>
      </c>
      <c r="H30" t="s">
        <v>234</v>
      </c>
      <c r="I30" t="s">
        <v>230</v>
      </c>
      <c r="J30" t="str">
        <f t="shared" si="0"/>
        <v>001110111101</v>
      </c>
    </row>
    <row r="31" spans="1:10">
      <c r="A31">
        <v>30</v>
      </c>
      <c r="B31" t="s">
        <v>228</v>
      </c>
      <c r="C31" t="s">
        <v>233</v>
      </c>
      <c r="D31" t="s">
        <v>229</v>
      </c>
      <c r="E31" t="s">
        <v>237</v>
      </c>
      <c r="F31" t="s">
        <v>232</v>
      </c>
      <c r="G31" t="s">
        <v>236</v>
      </c>
      <c r="H31" t="s">
        <v>230</v>
      </c>
      <c r="I31" t="s">
        <v>235</v>
      </c>
      <c r="J31" t="str">
        <f t="shared" si="0"/>
        <v>001110111110</v>
      </c>
    </row>
    <row r="32" spans="1:10">
      <c r="A32">
        <v>31</v>
      </c>
      <c r="B32" t="s">
        <v>237</v>
      </c>
      <c r="C32" t="s">
        <v>229</v>
      </c>
      <c r="D32" t="s">
        <v>228</v>
      </c>
      <c r="E32" t="s">
        <v>236</v>
      </c>
      <c r="F32" t="s">
        <v>230</v>
      </c>
      <c r="G32" t="s">
        <v>231</v>
      </c>
      <c r="H32" t="s">
        <v>234</v>
      </c>
      <c r="I32" t="s">
        <v>235</v>
      </c>
      <c r="J32" t="str">
        <f t="shared" si="0"/>
        <v>001111001111</v>
      </c>
    </row>
    <row r="33" spans="1:10">
      <c r="A33">
        <v>32</v>
      </c>
      <c r="B33" t="s">
        <v>237</v>
      </c>
      <c r="C33" t="s">
        <v>229</v>
      </c>
      <c r="D33" t="s">
        <v>228</v>
      </c>
      <c r="E33" t="s">
        <v>236</v>
      </c>
      <c r="F33" t="s">
        <v>232</v>
      </c>
      <c r="G33" t="s">
        <v>231</v>
      </c>
      <c r="H33" t="s">
        <v>234</v>
      </c>
      <c r="I33" t="s">
        <v>235</v>
      </c>
      <c r="J33" t="str">
        <f t="shared" si="0"/>
        <v>001111010111</v>
      </c>
    </row>
    <row r="34" spans="1:10">
      <c r="A34">
        <v>33</v>
      </c>
      <c r="B34" t="s">
        <v>237</v>
      </c>
      <c r="C34" t="s">
        <v>228</v>
      </c>
      <c r="D34" t="s">
        <v>230</v>
      </c>
      <c r="E34" t="s">
        <v>236</v>
      </c>
      <c r="F34" t="s">
        <v>232</v>
      </c>
      <c r="G34" t="s">
        <v>231</v>
      </c>
      <c r="H34" t="s">
        <v>234</v>
      </c>
      <c r="I34" t="s">
        <v>235</v>
      </c>
      <c r="J34" t="str">
        <f t="shared" si="0"/>
        <v>001111011011</v>
      </c>
    </row>
    <row r="35" spans="1:10">
      <c r="A35">
        <v>34</v>
      </c>
      <c r="B35" t="s">
        <v>237</v>
      </c>
      <c r="C35" t="s">
        <v>229</v>
      </c>
      <c r="D35" t="s">
        <v>228</v>
      </c>
      <c r="E35" t="s">
        <v>236</v>
      </c>
      <c r="F35" t="s">
        <v>232</v>
      </c>
      <c r="G35" t="s">
        <v>231</v>
      </c>
      <c r="H35" t="s">
        <v>234</v>
      </c>
      <c r="I35" t="s">
        <v>230</v>
      </c>
      <c r="J35" t="str">
        <f t="shared" si="0"/>
        <v>001111011101</v>
      </c>
    </row>
    <row r="36" spans="1:10">
      <c r="A36">
        <v>35</v>
      </c>
      <c r="B36" t="s">
        <v>237</v>
      </c>
      <c r="C36" t="s">
        <v>229</v>
      </c>
      <c r="D36" t="s">
        <v>228</v>
      </c>
      <c r="E36" t="s">
        <v>236</v>
      </c>
      <c r="F36" t="s">
        <v>232</v>
      </c>
      <c r="G36" t="s">
        <v>231</v>
      </c>
      <c r="H36" t="s">
        <v>230</v>
      </c>
      <c r="I36" t="s">
        <v>235</v>
      </c>
      <c r="J36" t="str">
        <f t="shared" si="0"/>
        <v>001111011110</v>
      </c>
    </row>
    <row r="37" spans="1:10">
      <c r="A37">
        <v>36</v>
      </c>
      <c r="B37" t="s">
        <v>237</v>
      </c>
      <c r="C37" t="s">
        <v>233</v>
      </c>
      <c r="D37" t="s">
        <v>228</v>
      </c>
      <c r="E37" t="s">
        <v>236</v>
      </c>
      <c r="F37" t="s">
        <v>229</v>
      </c>
      <c r="G37" t="s">
        <v>231</v>
      </c>
      <c r="H37" t="s">
        <v>234</v>
      </c>
      <c r="I37" t="s">
        <v>235</v>
      </c>
      <c r="J37" t="str">
        <f t="shared" si="0"/>
        <v>001111100111</v>
      </c>
    </row>
    <row r="38" spans="1:10">
      <c r="A38">
        <v>37</v>
      </c>
      <c r="B38" t="s">
        <v>237</v>
      </c>
      <c r="C38" t="s">
        <v>233</v>
      </c>
      <c r="D38" t="s">
        <v>228</v>
      </c>
      <c r="E38" t="s">
        <v>236</v>
      </c>
      <c r="F38" t="s">
        <v>230</v>
      </c>
      <c r="G38" t="s">
        <v>231</v>
      </c>
      <c r="H38" t="s">
        <v>234</v>
      </c>
      <c r="I38" t="s">
        <v>235</v>
      </c>
      <c r="J38" t="str">
        <f t="shared" si="0"/>
        <v>001111101011</v>
      </c>
    </row>
    <row r="39" spans="1:10">
      <c r="A39">
        <v>38</v>
      </c>
      <c r="B39" t="s">
        <v>237</v>
      </c>
      <c r="C39" t="s">
        <v>233</v>
      </c>
      <c r="D39" t="s">
        <v>228</v>
      </c>
      <c r="E39" t="s">
        <v>236</v>
      </c>
      <c r="F39" t="s">
        <v>229</v>
      </c>
      <c r="G39" t="s">
        <v>231</v>
      </c>
      <c r="H39" t="s">
        <v>234</v>
      </c>
      <c r="I39" t="s">
        <v>230</v>
      </c>
      <c r="J39" t="str">
        <f t="shared" si="0"/>
        <v>001111101101</v>
      </c>
    </row>
    <row r="40" spans="1:10">
      <c r="A40">
        <v>39</v>
      </c>
      <c r="B40" t="s">
        <v>237</v>
      </c>
      <c r="C40" t="s">
        <v>233</v>
      </c>
      <c r="D40" t="s">
        <v>228</v>
      </c>
      <c r="E40" t="s">
        <v>236</v>
      </c>
      <c r="F40" t="s">
        <v>229</v>
      </c>
      <c r="G40" t="s">
        <v>231</v>
      </c>
      <c r="H40" t="s">
        <v>230</v>
      </c>
      <c r="I40" t="s">
        <v>235</v>
      </c>
      <c r="J40" t="str">
        <f t="shared" si="0"/>
        <v>001111101110</v>
      </c>
    </row>
    <row r="41" spans="1:10">
      <c r="A41">
        <v>40</v>
      </c>
      <c r="B41" t="s">
        <v>237</v>
      </c>
      <c r="C41" t="s">
        <v>233</v>
      </c>
      <c r="D41" t="s">
        <v>228</v>
      </c>
      <c r="E41" t="s">
        <v>236</v>
      </c>
      <c r="F41" t="s">
        <v>232</v>
      </c>
      <c r="G41" t="s">
        <v>231</v>
      </c>
      <c r="H41" t="s">
        <v>234</v>
      </c>
      <c r="I41" t="s">
        <v>235</v>
      </c>
      <c r="J41" t="str">
        <f t="shared" si="0"/>
        <v>001111110011</v>
      </c>
    </row>
    <row r="42" spans="1:10">
      <c r="A42">
        <v>41</v>
      </c>
      <c r="B42" t="s">
        <v>237</v>
      </c>
      <c r="C42" t="s">
        <v>233</v>
      </c>
      <c r="D42" t="s">
        <v>229</v>
      </c>
      <c r="E42" t="s">
        <v>236</v>
      </c>
      <c r="F42" t="s">
        <v>232</v>
      </c>
      <c r="G42" t="s">
        <v>231</v>
      </c>
      <c r="H42" t="s">
        <v>234</v>
      </c>
      <c r="I42" t="s">
        <v>228</v>
      </c>
      <c r="J42" t="str">
        <f t="shared" si="0"/>
        <v>001111110101</v>
      </c>
    </row>
    <row r="43" spans="1:10">
      <c r="A43">
        <v>42</v>
      </c>
      <c r="B43" t="s">
        <v>237</v>
      </c>
      <c r="C43" t="s">
        <v>233</v>
      </c>
      <c r="D43" t="s">
        <v>229</v>
      </c>
      <c r="E43" t="s">
        <v>236</v>
      </c>
      <c r="F43" t="s">
        <v>232</v>
      </c>
      <c r="G43" t="s">
        <v>231</v>
      </c>
      <c r="H43" t="s">
        <v>228</v>
      </c>
      <c r="I43" t="s">
        <v>235</v>
      </c>
      <c r="J43" t="str">
        <f t="shared" si="0"/>
        <v>001111110110</v>
      </c>
    </row>
    <row r="44" spans="1:10">
      <c r="A44">
        <v>43</v>
      </c>
      <c r="B44" t="s">
        <v>237</v>
      </c>
      <c r="C44" t="s">
        <v>233</v>
      </c>
      <c r="D44" t="s">
        <v>228</v>
      </c>
      <c r="E44" t="s">
        <v>236</v>
      </c>
      <c r="F44" t="s">
        <v>232</v>
      </c>
      <c r="G44" t="s">
        <v>231</v>
      </c>
      <c r="H44" t="s">
        <v>234</v>
      </c>
      <c r="I44" t="s">
        <v>230</v>
      </c>
      <c r="J44" t="str">
        <f t="shared" si="0"/>
        <v>001111111001</v>
      </c>
    </row>
    <row r="45" spans="1:10">
      <c r="A45">
        <v>44</v>
      </c>
      <c r="B45" t="s">
        <v>237</v>
      </c>
      <c r="C45" t="s">
        <v>233</v>
      </c>
      <c r="D45" t="s">
        <v>228</v>
      </c>
      <c r="E45" t="s">
        <v>236</v>
      </c>
      <c r="F45" t="s">
        <v>232</v>
      </c>
      <c r="G45" t="s">
        <v>231</v>
      </c>
      <c r="H45" t="s">
        <v>230</v>
      </c>
      <c r="I45" t="s">
        <v>235</v>
      </c>
      <c r="J45" t="str">
        <f t="shared" si="0"/>
        <v>001111111010</v>
      </c>
    </row>
    <row r="46" spans="1:10">
      <c r="A46">
        <v>45</v>
      </c>
      <c r="B46" t="s">
        <v>237</v>
      </c>
      <c r="C46" t="s">
        <v>233</v>
      </c>
      <c r="D46" t="s">
        <v>229</v>
      </c>
      <c r="E46" t="s">
        <v>236</v>
      </c>
      <c r="F46" t="s">
        <v>232</v>
      </c>
      <c r="G46" t="s">
        <v>231</v>
      </c>
      <c r="H46" t="s">
        <v>228</v>
      </c>
      <c r="I46" t="s">
        <v>230</v>
      </c>
      <c r="J46" t="str">
        <f t="shared" si="0"/>
        <v>001111111100</v>
      </c>
    </row>
    <row r="47" spans="1:10">
      <c r="A47">
        <v>46</v>
      </c>
      <c r="B47" t="s">
        <v>232</v>
      </c>
      <c r="C47" t="s">
        <v>229</v>
      </c>
      <c r="D47" t="s">
        <v>238</v>
      </c>
      <c r="E47" t="s">
        <v>231</v>
      </c>
      <c r="F47" t="s">
        <v>230</v>
      </c>
      <c r="G47" t="s">
        <v>233</v>
      </c>
      <c r="H47" t="s">
        <v>234</v>
      </c>
      <c r="I47" t="s">
        <v>235</v>
      </c>
      <c r="J47" t="str">
        <f t="shared" si="0"/>
        <v>010001111111</v>
      </c>
    </row>
    <row r="48" spans="1:10">
      <c r="A48">
        <v>47</v>
      </c>
      <c r="B48" t="s">
        <v>228</v>
      </c>
      <c r="C48" t="s">
        <v>229</v>
      </c>
      <c r="D48" t="s">
        <v>230</v>
      </c>
      <c r="E48" t="s">
        <v>238</v>
      </c>
      <c r="F48" t="s">
        <v>232</v>
      </c>
      <c r="G48" t="s">
        <v>233</v>
      </c>
      <c r="H48" t="s">
        <v>234</v>
      </c>
      <c r="I48" t="s">
        <v>235</v>
      </c>
      <c r="J48" t="str">
        <f t="shared" si="0"/>
        <v>010010111111</v>
      </c>
    </row>
    <row r="49" spans="1:10">
      <c r="A49">
        <v>48</v>
      </c>
      <c r="B49" t="s">
        <v>228</v>
      </c>
      <c r="C49" t="s">
        <v>229</v>
      </c>
      <c r="D49" t="s">
        <v>238</v>
      </c>
      <c r="E49" t="s">
        <v>231</v>
      </c>
      <c r="F49" t="s">
        <v>230</v>
      </c>
      <c r="G49" t="s">
        <v>232</v>
      </c>
      <c r="H49" t="s">
        <v>234</v>
      </c>
      <c r="I49" t="s">
        <v>235</v>
      </c>
      <c r="J49" t="str">
        <f t="shared" si="0"/>
        <v>010011011111</v>
      </c>
    </row>
    <row r="50" spans="1:10">
      <c r="A50">
        <v>49</v>
      </c>
      <c r="B50" t="s">
        <v>228</v>
      </c>
      <c r="C50" t="s">
        <v>229</v>
      </c>
      <c r="D50" t="s">
        <v>238</v>
      </c>
      <c r="E50" t="s">
        <v>231</v>
      </c>
      <c r="F50" t="s">
        <v>230</v>
      </c>
      <c r="G50" t="s">
        <v>233</v>
      </c>
      <c r="H50" t="s">
        <v>234</v>
      </c>
      <c r="I50" t="s">
        <v>235</v>
      </c>
      <c r="J50" t="str">
        <f t="shared" si="0"/>
        <v>010011101111</v>
      </c>
    </row>
    <row r="51" spans="1:10">
      <c r="A51">
        <v>50</v>
      </c>
      <c r="B51" t="s">
        <v>228</v>
      </c>
      <c r="C51" t="s">
        <v>229</v>
      </c>
      <c r="D51" t="s">
        <v>238</v>
      </c>
      <c r="E51" t="s">
        <v>231</v>
      </c>
      <c r="F51" t="s">
        <v>232</v>
      </c>
      <c r="G51" t="s">
        <v>233</v>
      </c>
      <c r="H51" t="s">
        <v>234</v>
      </c>
      <c r="I51" t="s">
        <v>235</v>
      </c>
      <c r="J51" t="str">
        <f t="shared" si="0"/>
        <v>010011110111</v>
      </c>
    </row>
    <row r="52" spans="1:10">
      <c r="A52">
        <v>51</v>
      </c>
      <c r="B52" t="s">
        <v>228</v>
      </c>
      <c r="C52" t="s">
        <v>233</v>
      </c>
      <c r="D52" t="s">
        <v>238</v>
      </c>
      <c r="E52" t="s">
        <v>231</v>
      </c>
      <c r="F52" t="s">
        <v>230</v>
      </c>
      <c r="G52" t="s">
        <v>232</v>
      </c>
      <c r="H52" t="s">
        <v>234</v>
      </c>
      <c r="I52" t="s">
        <v>235</v>
      </c>
      <c r="J52" t="str">
        <f t="shared" si="0"/>
        <v>010011111011</v>
      </c>
    </row>
    <row r="53" spans="1:10">
      <c r="A53">
        <v>52</v>
      </c>
      <c r="B53" t="s">
        <v>228</v>
      </c>
      <c r="C53" t="s">
        <v>229</v>
      </c>
      <c r="D53" t="s">
        <v>238</v>
      </c>
      <c r="E53" t="s">
        <v>231</v>
      </c>
      <c r="F53" t="s">
        <v>232</v>
      </c>
      <c r="G53" t="s">
        <v>233</v>
      </c>
      <c r="H53" t="s">
        <v>234</v>
      </c>
      <c r="I53" t="s">
        <v>230</v>
      </c>
      <c r="J53" t="str">
        <f t="shared" si="0"/>
        <v>010011111101</v>
      </c>
    </row>
    <row r="54" spans="1:10">
      <c r="A54">
        <v>53</v>
      </c>
      <c r="B54" t="s">
        <v>228</v>
      </c>
      <c r="C54" t="s">
        <v>229</v>
      </c>
      <c r="D54" t="s">
        <v>238</v>
      </c>
      <c r="E54" t="s">
        <v>231</v>
      </c>
      <c r="F54" t="s">
        <v>232</v>
      </c>
      <c r="G54" t="s">
        <v>233</v>
      </c>
      <c r="H54" t="s">
        <v>230</v>
      </c>
      <c r="I54" t="s">
        <v>235</v>
      </c>
      <c r="J54" t="str">
        <f t="shared" si="0"/>
        <v>010011111110</v>
      </c>
    </row>
    <row r="55" spans="1:10">
      <c r="A55">
        <v>54</v>
      </c>
      <c r="B55" t="s">
        <v>232</v>
      </c>
      <c r="C55" t="s">
        <v>229</v>
      </c>
      <c r="D55" t="s">
        <v>238</v>
      </c>
      <c r="E55" t="s">
        <v>236</v>
      </c>
      <c r="F55" t="s">
        <v>230</v>
      </c>
      <c r="G55" t="s">
        <v>233</v>
      </c>
      <c r="H55" t="s">
        <v>234</v>
      </c>
      <c r="I55" t="s">
        <v>235</v>
      </c>
      <c r="J55" t="str">
        <f t="shared" si="0"/>
        <v>010100111111</v>
      </c>
    </row>
    <row r="56" spans="1:10">
      <c r="A56">
        <v>55</v>
      </c>
      <c r="B56" t="s">
        <v>232</v>
      </c>
      <c r="C56" t="s">
        <v>229</v>
      </c>
      <c r="D56" t="s">
        <v>238</v>
      </c>
      <c r="E56" t="s">
        <v>236</v>
      </c>
      <c r="F56" t="s">
        <v>230</v>
      </c>
      <c r="G56" t="s">
        <v>231</v>
      </c>
      <c r="H56" t="s">
        <v>234</v>
      </c>
      <c r="I56" t="s">
        <v>235</v>
      </c>
      <c r="J56" t="str">
        <f t="shared" si="0"/>
        <v>010101011111</v>
      </c>
    </row>
    <row r="57" spans="1:10">
      <c r="A57">
        <v>56</v>
      </c>
      <c r="B57" t="s">
        <v>230</v>
      </c>
      <c r="C57" t="s">
        <v>233</v>
      </c>
      <c r="D57" t="s">
        <v>238</v>
      </c>
      <c r="E57" t="s">
        <v>236</v>
      </c>
      <c r="F57" t="s">
        <v>229</v>
      </c>
      <c r="G57" t="s">
        <v>231</v>
      </c>
      <c r="H57" t="s">
        <v>234</v>
      </c>
      <c r="I57" t="s">
        <v>235</v>
      </c>
      <c r="J57" t="str">
        <f t="shared" si="0"/>
        <v>010101101111</v>
      </c>
    </row>
    <row r="58" spans="1:10">
      <c r="A58">
        <v>57</v>
      </c>
      <c r="B58" t="s">
        <v>232</v>
      </c>
      <c r="C58" t="s">
        <v>233</v>
      </c>
      <c r="D58" t="s">
        <v>238</v>
      </c>
      <c r="E58" t="s">
        <v>236</v>
      </c>
      <c r="F58" t="s">
        <v>229</v>
      </c>
      <c r="G58" t="s">
        <v>231</v>
      </c>
      <c r="H58" t="s">
        <v>234</v>
      </c>
      <c r="I58" t="s">
        <v>235</v>
      </c>
      <c r="J58" t="str">
        <f t="shared" si="0"/>
        <v>010101110111</v>
      </c>
    </row>
    <row r="59" spans="1:10">
      <c r="A59">
        <v>58</v>
      </c>
      <c r="B59" t="s">
        <v>232</v>
      </c>
      <c r="C59" t="s">
        <v>233</v>
      </c>
      <c r="D59" t="s">
        <v>238</v>
      </c>
      <c r="E59" t="s">
        <v>236</v>
      </c>
      <c r="F59" t="s">
        <v>230</v>
      </c>
      <c r="G59" t="s">
        <v>231</v>
      </c>
      <c r="H59" t="s">
        <v>234</v>
      </c>
      <c r="I59" t="s">
        <v>235</v>
      </c>
      <c r="J59" t="str">
        <f t="shared" si="0"/>
        <v>010101111011</v>
      </c>
    </row>
    <row r="60" spans="1:10">
      <c r="A60">
        <v>59</v>
      </c>
      <c r="B60" t="s">
        <v>232</v>
      </c>
      <c r="C60" t="s">
        <v>233</v>
      </c>
      <c r="D60" t="s">
        <v>238</v>
      </c>
      <c r="E60" t="s">
        <v>236</v>
      </c>
      <c r="F60" t="s">
        <v>229</v>
      </c>
      <c r="G60" t="s">
        <v>231</v>
      </c>
      <c r="H60" t="s">
        <v>234</v>
      </c>
      <c r="I60" t="s">
        <v>230</v>
      </c>
      <c r="J60" t="str">
        <f t="shared" si="0"/>
        <v>010101111101</v>
      </c>
    </row>
    <row r="61" spans="1:10">
      <c r="A61">
        <v>60</v>
      </c>
      <c r="B61" t="s">
        <v>232</v>
      </c>
      <c r="C61" t="s">
        <v>233</v>
      </c>
      <c r="D61" t="s">
        <v>238</v>
      </c>
      <c r="E61" t="s">
        <v>236</v>
      </c>
      <c r="F61" t="s">
        <v>229</v>
      </c>
      <c r="G61" t="s">
        <v>231</v>
      </c>
      <c r="H61" t="s">
        <v>230</v>
      </c>
      <c r="I61" t="s">
        <v>235</v>
      </c>
      <c r="J61" t="str">
        <f t="shared" si="0"/>
        <v>010101111110</v>
      </c>
    </row>
    <row r="62" spans="1:10">
      <c r="A62">
        <v>61</v>
      </c>
      <c r="B62" t="s">
        <v>228</v>
      </c>
      <c r="C62" t="s">
        <v>229</v>
      </c>
      <c r="D62" t="s">
        <v>238</v>
      </c>
      <c r="E62" t="s">
        <v>236</v>
      </c>
      <c r="F62" t="s">
        <v>230</v>
      </c>
      <c r="G62" t="s">
        <v>232</v>
      </c>
      <c r="H62" t="s">
        <v>234</v>
      </c>
      <c r="I62" t="s">
        <v>235</v>
      </c>
      <c r="J62" t="str">
        <f t="shared" si="0"/>
        <v>010110011111</v>
      </c>
    </row>
    <row r="63" spans="1:10">
      <c r="A63">
        <v>62</v>
      </c>
      <c r="B63" t="s">
        <v>228</v>
      </c>
      <c r="C63" t="s">
        <v>229</v>
      </c>
      <c r="D63" t="s">
        <v>238</v>
      </c>
      <c r="E63" t="s">
        <v>236</v>
      </c>
      <c r="F63" t="s">
        <v>230</v>
      </c>
      <c r="G63" t="s">
        <v>233</v>
      </c>
      <c r="H63" t="s">
        <v>234</v>
      </c>
      <c r="I63" t="s">
        <v>235</v>
      </c>
      <c r="J63" t="str">
        <f t="shared" si="0"/>
        <v>010110101111</v>
      </c>
    </row>
    <row r="64" spans="1:10">
      <c r="A64">
        <v>63</v>
      </c>
      <c r="B64" t="s">
        <v>228</v>
      </c>
      <c r="C64" t="s">
        <v>229</v>
      </c>
      <c r="D64" t="s">
        <v>238</v>
      </c>
      <c r="E64" t="s">
        <v>236</v>
      </c>
      <c r="F64" t="s">
        <v>232</v>
      </c>
      <c r="G64" t="s">
        <v>233</v>
      </c>
      <c r="H64" t="s">
        <v>234</v>
      </c>
      <c r="I64" t="s">
        <v>235</v>
      </c>
      <c r="J64" t="str">
        <f t="shared" si="0"/>
        <v>010110110111</v>
      </c>
    </row>
    <row r="65" spans="1:10">
      <c r="A65">
        <v>64</v>
      </c>
      <c r="B65" t="s">
        <v>228</v>
      </c>
      <c r="C65" t="s">
        <v>233</v>
      </c>
      <c r="D65" t="s">
        <v>238</v>
      </c>
      <c r="E65" t="s">
        <v>236</v>
      </c>
      <c r="F65" t="s">
        <v>230</v>
      </c>
      <c r="G65" t="s">
        <v>232</v>
      </c>
      <c r="H65" t="s">
        <v>234</v>
      </c>
      <c r="I65" t="s">
        <v>235</v>
      </c>
      <c r="J65" t="str">
        <f t="shared" si="0"/>
        <v>010110111011</v>
      </c>
    </row>
    <row r="66" spans="1:10">
      <c r="A66">
        <v>65</v>
      </c>
      <c r="B66" t="s">
        <v>228</v>
      </c>
      <c r="C66" t="s">
        <v>229</v>
      </c>
      <c r="D66" t="s">
        <v>238</v>
      </c>
      <c r="E66" t="s">
        <v>236</v>
      </c>
      <c r="F66" t="s">
        <v>232</v>
      </c>
      <c r="G66" t="s">
        <v>233</v>
      </c>
      <c r="H66" t="s">
        <v>234</v>
      </c>
      <c r="I66" t="s">
        <v>230</v>
      </c>
      <c r="J66" t="str">
        <f t="shared" ref="J66:J129" si="1">COUNTIF($B66:$I66,"*A") &amp; COUNTIF($B66:$I66,"*B") &amp; COUNTIF($B66:$I66,"*C") &amp; COUNTIF($B66:$I66,"*D") &amp; COUNTIF($B66:$I66,"*E") &amp; COUNTIF($B66:$I66,"*F") &amp; COUNTIF($B66:$I66,"*G") &amp; COUNTIF($B66:$I66,"*H") &amp; COUNTIF($B66:$I66,"*I") &amp; COUNTIF($B66:$I66,"*J") &amp; COUNTIF($B66:$I66,"*K") &amp; COUNTIF($B66:$I66,"*L")</f>
        <v>010110111101</v>
      </c>
    </row>
    <row r="67" spans="1:10">
      <c r="A67">
        <v>66</v>
      </c>
      <c r="B67" t="s">
        <v>228</v>
      </c>
      <c r="C67" t="s">
        <v>229</v>
      </c>
      <c r="D67" t="s">
        <v>238</v>
      </c>
      <c r="E67" t="s">
        <v>236</v>
      </c>
      <c r="F67" t="s">
        <v>232</v>
      </c>
      <c r="G67" t="s">
        <v>233</v>
      </c>
      <c r="H67" t="s">
        <v>230</v>
      </c>
      <c r="I67" t="s">
        <v>235</v>
      </c>
      <c r="J67" t="str">
        <f t="shared" si="1"/>
        <v>010110111110</v>
      </c>
    </row>
    <row r="68" spans="1:10">
      <c r="A68">
        <v>67</v>
      </c>
      <c r="B68" t="s">
        <v>228</v>
      </c>
      <c r="C68" t="s">
        <v>229</v>
      </c>
      <c r="D68" t="s">
        <v>238</v>
      </c>
      <c r="E68" t="s">
        <v>236</v>
      </c>
      <c r="F68" t="s">
        <v>230</v>
      </c>
      <c r="G68" t="s">
        <v>231</v>
      </c>
      <c r="H68" t="s">
        <v>234</v>
      </c>
      <c r="I68" t="s">
        <v>235</v>
      </c>
      <c r="J68" t="str">
        <f t="shared" si="1"/>
        <v>010111001111</v>
      </c>
    </row>
    <row r="69" spans="1:10">
      <c r="A69">
        <v>68</v>
      </c>
      <c r="B69" t="s">
        <v>228</v>
      </c>
      <c r="C69" t="s">
        <v>229</v>
      </c>
      <c r="D69" t="s">
        <v>238</v>
      </c>
      <c r="E69" t="s">
        <v>236</v>
      </c>
      <c r="F69" t="s">
        <v>232</v>
      </c>
      <c r="G69" t="s">
        <v>231</v>
      </c>
      <c r="H69" t="s">
        <v>234</v>
      </c>
      <c r="I69" t="s">
        <v>235</v>
      </c>
      <c r="J69" t="str">
        <f t="shared" si="1"/>
        <v>010111010111</v>
      </c>
    </row>
    <row r="70" spans="1:10">
      <c r="A70">
        <v>69</v>
      </c>
      <c r="B70" t="s">
        <v>228</v>
      </c>
      <c r="C70" t="s">
        <v>230</v>
      </c>
      <c r="D70" t="s">
        <v>238</v>
      </c>
      <c r="E70" t="s">
        <v>236</v>
      </c>
      <c r="F70" t="s">
        <v>232</v>
      </c>
      <c r="G70" t="s">
        <v>231</v>
      </c>
      <c r="H70" t="s">
        <v>234</v>
      </c>
      <c r="I70" t="s">
        <v>235</v>
      </c>
      <c r="J70" t="str">
        <f t="shared" si="1"/>
        <v>010111011011</v>
      </c>
    </row>
    <row r="71" spans="1:10">
      <c r="A71">
        <v>70</v>
      </c>
      <c r="B71" t="s">
        <v>228</v>
      </c>
      <c r="C71" t="s">
        <v>229</v>
      </c>
      <c r="D71" t="s">
        <v>238</v>
      </c>
      <c r="E71" t="s">
        <v>236</v>
      </c>
      <c r="F71" t="s">
        <v>232</v>
      </c>
      <c r="G71" t="s">
        <v>231</v>
      </c>
      <c r="H71" t="s">
        <v>234</v>
      </c>
      <c r="I71" t="s">
        <v>230</v>
      </c>
      <c r="J71" t="str">
        <f t="shared" si="1"/>
        <v>010111011101</v>
      </c>
    </row>
    <row r="72" spans="1:10">
      <c r="A72">
        <v>71</v>
      </c>
      <c r="B72" t="s">
        <v>228</v>
      </c>
      <c r="C72" t="s">
        <v>229</v>
      </c>
      <c r="D72" t="s">
        <v>238</v>
      </c>
      <c r="E72" t="s">
        <v>236</v>
      </c>
      <c r="F72" t="s">
        <v>232</v>
      </c>
      <c r="G72" t="s">
        <v>231</v>
      </c>
      <c r="H72" t="s">
        <v>230</v>
      </c>
      <c r="I72" t="s">
        <v>235</v>
      </c>
      <c r="J72" t="str">
        <f t="shared" si="1"/>
        <v>010111011110</v>
      </c>
    </row>
    <row r="73" spans="1:10">
      <c r="A73">
        <v>72</v>
      </c>
      <c r="B73" t="s">
        <v>228</v>
      </c>
      <c r="C73" t="s">
        <v>233</v>
      </c>
      <c r="D73" t="s">
        <v>238</v>
      </c>
      <c r="E73" t="s">
        <v>236</v>
      </c>
      <c r="F73" t="s">
        <v>229</v>
      </c>
      <c r="G73" t="s">
        <v>231</v>
      </c>
      <c r="H73" t="s">
        <v>234</v>
      </c>
      <c r="I73" t="s">
        <v>235</v>
      </c>
      <c r="J73" t="str">
        <f t="shared" si="1"/>
        <v>010111100111</v>
      </c>
    </row>
    <row r="74" spans="1:10">
      <c r="A74">
        <v>73</v>
      </c>
      <c r="B74" t="s">
        <v>228</v>
      </c>
      <c r="C74" t="s">
        <v>233</v>
      </c>
      <c r="D74" t="s">
        <v>238</v>
      </c>
      <c r="E74" t="s">
        <v>236</v>
      </c>
      <c r="F74" t="s">
        <v>230</v>
      </c>
      <c r="G74" t="s">
        <v>231</v>
      </c>
      <c r="H74" t="s">
        <v>234</v>
      </c>
      <c r="I74" t="s">
        <v>235</v>
      </c>
      <c r="J74" t="str">
        <f t="shared" si="1"/>
        <v>010111101011</v>
      </c>
    </row>
    <row r="75" spans="1:10">
      <c r="A75">
        <v>74</v>
      </c>
      <c r="B75" t="s">
        <v>228</v>
      </c>
      <c r="C75" t="s">
        <v>233</v>
      </c>
      <c r="D75" t="s">
        <v>238</v>
      </c>
      <c r="E75" t="s">
        <v>236</v>
      </c>
      <c r="F75" t="s">
        <v>229</v>
      </c>
      <c r="G75" t="s">
        <v>231</v>
      </c>
      <c r="H75" t="s">
        <v>234</v>
      </c>
      <c r="I75" t="s">
        <v>230</v>
      </c>
      <c r="J75" t="str">
        <f t="shared" si="1"/>
        <v>010111101101</v>
      </c>
    </row>
    <row r="76" spans="1:10">
      <c r="A76">
        <v>75</v>
      </c>
      <c r="B76" t="s">
        <v>228</v>
      </c>
      <c r="C76" t="s">
        <v>233</v>
      </c>
      <c r="D76" t="s">
        <v>238</v>
      </c>
      <c r="E76" t="s">
        <v>236</v>
      </c>
      <c r="F76" t="s">
        <v>229</v>
      </c>
      <c r="G76" t="s">
        <v>231</v>
      </c>
      <c r="H76" t="s">
        <v>230</v>
      </c>
      <c r="I76" t="s">
        <v>235</v>
      </c>
      <c r="J76" t="str">
        <f t="shared" si="1"/>
        <v>010111101110</v>
      </c>
    </row>
    <row r="77" spans="1:10">
      <c r="A77">
        <v>76</v>
      </c>
      <c r="B77" t="s">
        <v>228</v>
      </c>
      <c r="C77" t="s">
        <v>233</v>
      </c>
      <c r="D77" t="s">
        <v>238</v>
      </c>
      <c r="E77" t="s">
        <v>236</v>
      </c>
      <c r="F77" t="s">
        <v>232</v>
      </c>
      <c r="G77" t="s">
        <v>231</v>
      </c>
      <c r="H77" t="s">
        <v>234</v>
      </c>
      <c r="I77" t="s">
        <v>235</v>
      </c>
      <c r="J77" t="str">
        <f t="shared" si="1"/>
        <v>010111110011</v>
      </c>
    </row>
    <row r="78" spans="1:10">
      <c r="A78">
        <v>77</v>
      </c>
      <c r="B78" t="s">
        <v>232</v>
      </c>
      <c r="C78" t="s">
        <v>233</v>
      </c>
      <c r="D78" t="s">
        <v>238</v>
      </c>
      <c r="E78" t="s">
        <v>236</v>
      </c>
      <c r="F78" t="s">
        <v>229</v>
      </c>
      <c r="G78" t="s">
        <v>231</v>
      </c>
      <c r="H78" t="s">
        <v>234</v>
      </c>
      <c r="I78" t="s">
        <v>228</v>
      </c>
      <c r="J78" t="str">
        <f t="shared" si="1"/>
        <v>010111110101</v>
      </c>
    </row>
    <row r="79" spans="1:10">
      <c r="A79">
        <v>78</v>
      </c>
      <c r="B79" t="s">
        <v>232</v>
      </c>
      <c r="C79" t="s">
        <v>233</v>
      </c>
      <c r="D79" t="s">
        <v>238</v>
      </c>
      <c r="E79" t="s">
        <v>236</v>
      </c>
      <c r="F79" t="s">
        <v>229</v>
      </c>
      <c r="G79" t="s">
        <v>231</v>
      </c>
      <c r="H79" t="s">
        <v>228</v>
      </c>
      <c r="I79" t="s">
        <v>235</v>
      </c>
      <c r="J79" t="str">
        <f t="shared" si="1"/>
        <v>010111110110</v>
      </c>
    </row>
    <row r="80" spans="1:10">
      <c r="A80">
        <v>79</v>
      </c>
      <c r="B80" t="s">
        <v>228</v>
      </c>
      <c r="C80" t="s">
        <v>233</v>
      </c>
      <c r="D80" t="s">
        <v>238</v>
      </c>
      <c r="E80" t="s">
        <v>236</v>
      </c>
      <c r="F80" t="s">
        <v>232</v>
      </c>
      <c r="G80" t="s">
        <v>231</v>
      </c>
      <c r="H80" t="s">
        <v>234</v>
      </c>
      <c r="I80" t="s">
        <v>230</v>
      </c>
      <c r="J80" t="str">
        <f t="shared" si="1"/>
        <v>010111111001</v>
      </c>
    </row>
    <row r="81" spans="1:10">
      <c r="A81">
        <v>80</v>
      </c>
      <c r="B81" t="s">
        <v>228</v>
      </c>
      <c r="C81" t="s">
        <v>233</v>
      </c>
      <c r="D81" t="s">
        <v>238</v>
      </c>
      <c r="E81" t="s">
        <v>236</v>
      </c>
      <c r="F81" t="s">
        <v>232</v>
      </c>
      <c r="G81" t="s">
        <v>231</v>
      </c>
      <c r="H81" t="s">
        <v>230</v>
      </c>
      <c r="I81" t="s">
        <v>235</v>
      </c>
      <c r="J81" t="str">
        <f t="shared" si="1"/>
        <v>010111111010</v>
      </c>
    </row>
    <row r="82" spans="1:10">
      <c r="A82">
        <v>81</v>
      </c>
      <c r="B82" t="s">
        <v>232</v>
      </c>
      <c r="C82" t="s">
        <v>233</v>
      </c>
      <c r="D82" t="s">
        <v>238</v>
      </c>
      <c r="E82" t="s">
        <v>236</v>
      </c>
      <c r="F82" t="s">
        <v>229</v>
      </c>
      <c r="G82" t="s">
        <v>231</v>
      </c>
      <c r="H82" t="s">
        <v>228</v>
      </c>
      <c r="I82" t="s">
        <v>230</v>
      </c>
      <c r="J82" t="str">
        <f t="shared" si="1"/>
        <v>010111111100</v>
      </c>
    </row>
    <row r="83" spans="1:10">
      <c r="A83">
        <v>82</v>
      </c>
      <c r="B83" t="s">
        <v>232</v>
      </c>
      <c r="C83" t="s">
        <v>229</v>
      </c>
      <c r="D83" t="s">
        <v>238</v>
      </c>
      <c r="E83" t="s">
        <v>237</v>
      </c>
      <c r="F83" t="s">
        <v>230</v>
      </c>
      <c r="G83" t="s">
        <v>233</v>
      </c>
      <c r="H83" t="s">
        <v>234</v>
      </c>
      <c r="I83" t="s">
        <v>235</v>
      </c>
      <c r="J83" t="str">
        <f t="shared" si="1"/>
        <v>011000111111</v>
      </c>
    </row>
    <row r="84" spans="1:10">
      <c r="A84">
        <v>83</v>
      </c>
      <c r="B84" t="s">
        <v>232</v>
      </c>
      <c r="C84" t="s">
        <v>229</v>
      </c>
      <c r="D84" t="s">
        <v>238</v>
      </c>
      <c r="E84" t="s">
        <v>237</v>
      </c>
      <c r="F84" t="s">
        <v>230</v>
      </c>
      <c r="G84" t="s">
        <v>231</v>
      </c>
      <c r="H84" t="s">
        <v>234</v>
      </c>
      <c r="I84" t="s">
        <v>235</v>
      </c>
      <c r="J84" t="str">
        <f t="shared" si="1"/>
        <v>011001011111</v>
      </c>
    </row>
    <row r="85" spans="1:10">
      <c r="A85">
        <v>84</v>
      </c>
      <c r="B85" t="s">
        <v>230</v>
      </c>
      <c r="C85" t="s">
        <v>233</v>
      </c>
      <c r="D85" t="s">
        <v>238</v>
      </c>
      <c r="E85" t="s">
        <v>237</v>
      </c>
      <c r="F85" t="s">
        <v>229</v>
      </c>
      <c r="G85" t="s">
        <v>231</v>
      </c>
      <c r="H85" t="s">
        <v>234</v>
      </c>
      <c r="I85" t="s">
        <v>235</v>
      </c>
      <c r="J85" t="str">
        <f t="shared" si="1"/>
        <v>011001101111</v>
      </c>
    </row>
    <row r="86" spans="1:10">
      <c r="A86">
        <v>85</v>
      </c>
      <c r="B86" t="s">
        <v>232</v>
      </c>
      <c r="C86" t="s">
        <v>233</v>
      </c>
      <c r="D86" t="s">
        <v>238</v>
      </c>
      <c r="E86" t="s">
        <v>237</v>
      </c>
      <c r="F86" t="s">
        <v>229</v>
      </c>
      <c r="G86" t="s">
        <v>231</v>
      </c>
      <c r="H86" t="s">
        <v>234</v>
      </c>
      <c r="I86" t="s">
        <v>235</v>
      </c>
      <c r="J86" t="str">
        <f t="shared" si="1"/>
        <v>011001110111</v>
      </c>
    </row>
    <row r="87" spans="1:10">
      <c r="A87">
        <v>86</v>
      </c>
      <c r="B87" t="s">
        <v>232</v>
      </c>
      <c r="C87" t="s">
        <v>233</v>
      </c>
      <c r="D87" t="s">
        <v>238</v>
      </c>
      <c r="E87" t="s">
        <v>237</v>
      </c>
      <c r="F87" t="s">
        <v>230</v>
      </c>
      <c r="G87" t="s">
        <v>231</v>
      </c>
      <c r="H87" t="s">
        <v>234</v>
      </c>
      <c r="I87" t="s">
        <v>235</v>
      </c>
      <c r="J87" t="str">
        <f t="shared" si="1"/>
        <v>011001111011</v>
      </c>
    </row>
    <row r="88" spans="1:10">
      <c r="A88">
        <v>87</v>
      </c>
      <c r="B88" t="s">
        <v>232</v>
      </c>
      <c r="C88" t="s">
        <v>233</v>
      </c>
      <c r="D88" t="s">
        <v>238</v>
      </c>
      <c r="E88" t="s">
        <v>237</v>
      </c>
      <c r="F88" t="s">
        <v>229</v>
      </c>
      <c r="G88" t="s">
        <v>231</v>
      </c>
      <c r="H88" t="s">
        <v>234</v>
      </c>
      <c r="I88" t="s">
        <v>230</v>
      </c>
      <c r="J88" t="str">
        <f t="shared" si="1"/>
        <v>011001111101</v>
      </c>
    </row>
    <row r="89" spans="1:10">
      <c r="A89">
        <v>88</v>
      </c>
      <c r="B89" t="s">
        <v>232</v>
      </c>
      <c r="C89" t="s">
        <v>233</v>
      </c>
      <c r="D89" t="s">
        <v>238</v>
      </c>
      <c r="E89" t="s">
        <v>237</v>
      </c>
      <c r="F89" t="s">
        <v>229</v>
      </c>
      <c r="G89" t="s">
        <v>231</v>
      </c>
      <c r="H89" t="s">
        <v>230</v>
      </c>
      <c r="I89" t="s">
        <v>235</v>
      </c>
      <c r="J89" t="str">
        <f t="shared" si="1"/>
        <v>011001111110</v>
      </c>
    </row>
    <row r="90" spans="1:10">
      <c r="A90">
        <v>89</v>
      </c>
      <c r="B90" t="s">
        <v>228</v>
      </c>
      <c r="C90" t="s">
        <v>229</v>
      </c>
      <c r="D90" t="s">
        <v>238</v>
      </c>
      <c r="E90" t="s">
        <v>237</v>
      </c>
      <c r="F90" t="s">
        <v>230</v>
      </c>
      <c r="G90" t="s">
        <v>232</v>
      </c>
      <c r="H90" t="s">
        <v>234</v>
      </c>
      <c r="I90" t="s">
        <v>235</v>
      </c>
      <c r="J90" t="str">
        <f t="shared" si="1"/>
        <v>011010011111</v>
      </c>
    </row>
    <row r="91" spans="1:10">
      <c r="A91">
        <v>90</v>
      </c>
      <c r="B91" t="s">
        <v>228</v>
      </c>
      <c r="C91" t="s">
        <v>229</v>
      </c>
      <c r="D91" t="s">
        <v>238</v>
      </c>
      <c r="E91" t="s">
        <v>237</v>
      </c>
      <c r="F91" t="s">
        <v>230</v>
      </c>
      <c r="G91" t="s">
        <v>233</v>
      </c>
      <c r="H91" t="s">
        <v>234</v>
      </c>
      <c r="I91" t="s">
        <v>235</v>
      </c>
      <c r="J91" t="str">
        <f t="shared" si="1"/>
        <v>011010101111</v>
      </c>
    </row>
    <row r="92" spans="1:10">
      <c r="A92">
        <v>91</v>
      </c>
      <c r="B92" t="s">
        <v>228</v>
      </c>
      <c r="C92" t="s">
        <v>229</v>
      </c>
      <c r="D92" t="s">
        <v>238</v>
      </c>
      <c r="E92" t="s">
        <v>237</v>
      </c>
      <c r="F92" t="s">
        <v>232</v>
      </c>
      <c r="G92" t="s">
        <v>233</v>
      </c>
      <c r="H92" t="s">
        <v>234</v>
      </c>
      <c r="I92" t="s">
        <v>235</v>
      </c>
      <c r="J92" t="str">
        <f t="shared" si="1"/>
        <v>011010110111</v>
      </c>
    </row>
    <row r="93" spans="1:10">
      <c r="A93">
        <v>92</v>
      </c>
      <c r="B93" t="s">
        <v>228</v>
      </c>
      <c r="C93" t="s">
        <v>233</v>
      </c>
      <c r="D93" t="s">
        <v>238</v>
      </c>
      <c r="E93" t="s">
        <v>237</v>
      </c>
      <c r="F93" t="s">
        <v>230</v>
      </c>
      <c r="G93" t="s">
        <v>232</v>
      </c>
      <c r="H93" t="s">
        <v>234</v>
      </c>
      <c r="I93" t="s">
        <v>235</v>
      </c>
      <c r="J93" t="str">
        <f t="shared" si="1"/>
        <v>011010111011</v>
      </c>
    </row>
    <row r="94" spans="1:10">
      <c r="A94">
        <v>93</v>
      </c>
      <c r="B94" t="s">
        <v>228</v>
      </c>
      <c r="C94" t="s">
        <v>229</v>
      </c>
      <c r="D94" t="s">
        <v>238</v>
      </c>
      <c r="E94" t="s">
        <v>237</v>
      </c>
      <c r="F94" t="s">
        <v>232</v>
      </c>
      <c r="G94" t="s">
        <v>233</v>
      </c>
      <c r="H94" t="s">
        <v>234</v>
      </c>
      <c r="I94" t="s">
        <v>230</v>
      </c>
      <c r="J94" t="str">
        <f t="shared" si="1"/>
        <v>011010111101</v>
      </c>
    </row>
    <row r="95" spans="1:10">
      <c r="A95">
        <v>94</v>
      </c>
      <c r="B95" t="s">
        <v>228</v>
      </c>
      <c r="C95" t="s">
        <v>229</v>
      </c>
      <c r="D95" t="s">
        <v>238</v>
      </c>
      <c r="E95" t="s">
        <v>237</v>
      </c>
      <c r="F95" t="s">
        <v>232</v>
      </c>
      <c r="G95" t="s">
        <v>233</v>
      </c>
      <c r="H95" t="s">
        <v>230</v>
      </c>
      <c r="I95" t="s">
        <v>235</v>
      </c>
      <c r="J95" t="str">
        <f t="shared" si="1"/>
        <v>011010111110</v>
      </c>
    </row>
    <row r="96" spans="1:10">
      <c r="A96">
        <v>95</v>
      </c>
      <c r="B96" t="s">
        <v>228</v>
      </c>
      <c r="C96" t="s">
        <v>229</v>
      </c>
      <c r="D96" t="s">
        <v>238</v>
      </c>
      <c r="E96" t="s">
        <v>237</v>
      </c>
      <c r="F96" t="s">
        <v>230</v>
      </c>
      <c r="G96" t="s">
        <v>231</v>
      </c>
      <c r="H96" t="s">
        <v>234</v>
      </c>
      <c r="I96" t="s">
        <v>235</v>
      </c>
      <c r="J96" t="str">
        <f t="shared" si="1"/>
        <v>011011001111</v>
      </c>
    </row>
    <row r="97" spans="1:10">
      <c r="A97">
        <v>96</v>
      </c>
      <c r="B97" t="s">
        <v>228</v>
      </c>
      <c r="C97" t="s">
        <v>229</v>
      </c>
      <c r="D97" t="s">
        <v>238</v>
      </c>
      <c r="E97" t="s">
        <v>237</v>
      </c>
      <c r="F97" t="s">
        <v>232</v>
      </c>
      <c r="G97" t="s">
        <v>231</v>
      </c>
      <c r="H97" t="s">
        <v>234</v>
      </c>
      <c r="I97" t="s">
        <v>235</v>
      </c>
      <c r="J97" t="str">
        <f t="shared" si="1"/>
        <v>011011010111</v>
      </c>
    </row>
    <row r="98" spans="1:10">
      <c r="A98">
        <v>97</v>
      </c>
      <c r="B98" t="s">
        <v>228</v>
      </c>
      <c r="C98" t="s">
        <v>230</v>
      </c>
      <c r="D98" t="s">
        <v>238</v>
      </c>
      <c r="E98" t="s">
        <v>237</v>
      </c>
      <c r="F98" t="s">
        <v>232</v>
      </c>
      <c r="G98" t="s">
        <v>231</v>
      </c>
      <c r="H98" t="s">
        <v>234</v>
      </c>
      <c r="I98" t="s">
        <v>235</v>
      </c>
      <c r="J98" t="str">
        <f t="shared" si="1"/>
        <v>011011011011</v>
      </c>
    </row>
    <row r="99" spans="1:10">
      <c r="A99">
        <v>98</v>
      </c>
      <c r="B99" t="s">
        <v>228</v>
      </c>
      <c r="C99" t="s">
        <v>229</v>
      </c>
      <c r="D99" t="s">
        <v>238</v>
      </c>
      <c r="E99" t="s">
        <v>237</v>
      </c>
      <c r="F99" t="s">
        <v>232</v>
      </c>
      <c r="G99" t="s">
        <v>231</v>
      </c>
      <c r="H99" t="s">
        <v>234</v>
      </c>
      <c r="I99" t="s">
        <v>230</v>
      </c>
      <c r="J99" t="str">
        <f t="shared" si="1"/>
        <v>011011011101</v>
      </c>
    </row>
    <row r="100" spans="1:10">
      <c r="A100">
        <v>99</v>
      </c>
      <c r="B100" t="s">
        <v>228</v>
      </c>
      <c r="C100" t="s">
        <v>229</v>
      </c>
      <c r="D100" t="s">
        <v>238</v>
      </c>
      <c r="E100" t="s">
        <v>237</v>
      </c>
      <c r="F100" t="s">
        <v>232</v>
      </c>
      <c r="G100" t="s">
        <v>231</v>
      </c>
      <c r="H100" t="s">
        <v>230</v>
      </c>
      <c r="I100" t="s">
        <v>235</v>
      </c>
      <c r="J100" t="str">
        <f t="shared" si="1"/>
        <v>011011011110</v>
      </c>
    </row>
    <row r="101" spans="1:10">
      <c r="A101">
        <v>100</v>
      </c>
      <c r="B101" t="s">
        <v>228</v>
      </c>
      <c r="C101" t="s">
        <v>233</v>
      </c>
      <c r="D101" t="s">
        <v>238</v>
      </c>
      <c r="E101" t="s">
        <v>237</v>
      </c>
      <c r="F101" t="s">
        <v>229</v>
      </c>
      <c r="G101" t="s">
        <v>231</v>
      </c>
      <c r="H101" t="s">
        <v>234</v>
      </c>
      <c r="I101" t="s">
        <v>235</v>
      </c>
      <c r="J101" t="str">
        <f t="shared" si="1"/>
        <v>011011100111</v>
      </c>
    </row>
    <row r="102" spans="1:10">
      <c r="A102">
        <v>101</v>
      </c>
      <c r="B102" t="s">
        <v>228</v>
      </c>
      <c r="C102" t="s">
        <v>233</v>
      </c>
      <c r="D102" t="s">
        <v>238</v>
      </c>
      <c r="E102" t="s">
        <v>237</v>
      </c>
      <c r="F102" t="s">
        <v>230</v>
      </c>
      <c r="G102" t="s">
        <v>231</v>
      </c>
      <c r="H102" t="s">
        <v>234</v>
      </c>
      <c r="I102" t="s">
        <v>235</v>
      </c>
      <c r="J102" t="str">
        <f t="shared" si="1"/>
        <v>011011101011</v>
      </c>
    </row>
    <row r="103" spans="1:10">
      <c r="A103">
        <v>102</v>
      </c>
      <c r="B103" t="s">
        <v>228</v>
      </c>
      <c r="C103" t="s">
        <v>233</v>
      </c>
      <c r="D103" t="s">
        <v>238</v>
      </c>
      <c r="E103" t="s">
        <v>237</v>
      </c>
      <c r="F103" t="s">
        <v>229</v>
      </c>
      <c r="G103" t="s">
        <v>231</v>
      </c>
      <c r="H103" t="s">
        <v>234</v>
      </c>
      <c r="I103" t="s">
        <v>230</v>
      </c>
      <c r="J103" t="str">
        <f t="shared" si="1"/>
        <v>011011101101</v>
      </c>
    </row>
    <row r="104" spans="1:10">
      <c r="A104">
        <v>103</v>
      </c>
      <c r="B104" t="s">
        <v>228</v>
      </c>
      <c r="C104" t="s">
        <v>233</v>
      </c>
      <c r="D104" t="s">
        <v>238</v>
      </c>
      <c r="E104" t="s">
        <v>237</v>
      </c>
      <c r="F104" t="s">
        <v>229</v>
      </c>
      <c r="G104" t="s">
        <v>231</v>
      </c>
      <c r="H104" t="s">
        <v>230</v>
      </c>
      <c r="I104" t="s">
        <v>235</v>
      </c>
      <c r="J104" t="str">
        <f t="shared" si="1"/>
        <v>011011101110</v>
      </c>
    </row>
    <row r="105" spans="1:10">
      <c r="A105">
        <v>104</v>
      </c>
      <c r="B105" t="s">
        <v>228</v>
      </c>
      <c r="C105" t="s">
        <v>233</v>
      </c>
      <c r="D105" t="s">
        <v>238</v>
      </c>
      <c r="E105" t="s">
        <v>237</v>
      </c>
      <c r="F105" t="s">
        <v>232</v>
      </c>
      <c r="G105" t="s">
        <v>231</v>
      </c>
      <c r="H105" t="s">
        <v>234</v>
      </c>
      <c r="I105" t="s">
        <v>235</v>
      </c>
      <c r="J105" t="str">
        <f t="shared" si="1"/>
        <v>011011110011</v>
      </c>
    </row>
    <row r="106" spans="1:10">
      <c r="A106">
        <v>105</v>
      </c>
      <c r="B106" t="s">
        <v>232</v>
      </c>
      <c r="C106" t="s">
        <v>233</v>
      </c>
      <c r="D106" t="s">
        <v>238</v>
      </c>
      <c r="E106" t="s">
        <v>237</v>
      </c>
      <c r="F106" t="s">
        <v>229</v>
      </c>
      <c r="G106" t="s">
        <v>231</v>
      </c>
      <c r="H106" t="s">
        <v>234</v>
      </c>
      <c r="I106" t="s">
        <v>228</v>
      </c>
      <c r="J106" t="str">
        <f t="shared" si="1"/>
        <v>011011110101</v>
      </c>
    </row>
    <row r="107" spans="1:10">
      <c r="A107">
        <v>106</v>
      </c>
      <c r="B107" t="s">
        <v>232</v>
      </c>
      <c r="C107" t="s">
        <v>233</v>
      </c>
      <c r="D107" t="s">
        <v>238</v>
      </c>
      <c r="E107" t="s">
        <v>237</v>
      </c>
      <c r="F107" t="s">
        <v>229</v>
      </c>
      <c r="G107" t="s">
        <v>231</v>
      </c>
      <c r="H107" t="s">
        <v>228</v>
      </c>
      <c r="I107" t="s">
        <v>235</v>
      </c>
      <c r="J107" t="str">
        <f t="shared" si="1"/>
        <v>011011110110</v>
      </c>
    </row>
    <row r="108" spans="1:10">
      <c r="A108">
        <v>107</v>
      </c>
      <c r="B108" t="s">
        <v>228</v>
      </c>
      <c r="C108" t="s">
        <v>233</v>
      </c>
      <c r="D108" t="s">
        <v>238</v>
      </c>
      <c r="E108" t="s">
        <v>237</v>
      </c>
      <c r="F108" t="s">
        <v>232</v>
      </c>
      <c r="G108" t="s">
        <v>231</v>
      </c>
      <c r="H108" t="s">
        <v>234</v>
      </c>
      <c r="I108" t="s">
        <v>230</v>
      </c>
      <c r="J108" t="str">
        <f t="shared" si="1"/>
        <v>011011111001</v>
      </c>
    </row>
    <row r="109" spans="1:10">
      <c r="A109">
        <v>108</v>
      </c>
      <c r="B109" t="s">
        <v>228</v>
      </c>
      <c r="C109" t="s">
        <v>233</v>
      </c>
      <c r="D109" t="s">
        <v>238</v>
      </c>
      <c r="E109" t="s">
        <v>237</v>
      </c>
      <c r="F109" t="s">
        <v>232</v>
      </c>
      <c r="G109" t="s">
        <v>231</v>
      </c>
      <c r="H109" t="s">
        <v>230</v>
      </c>
      <c r="I109" t="s">
        <v>235</v>
      </c>
      <c r="J109" t="str">
        <f t="shared" si="1"/>
        <v>011011111010</v>
      </c>
    </row>
    <row r="110" spans="1:10">
      <c r="A110">
        <v>109</v>
      </c>
      <c r="B110" t="s">
        <v>232</v>
      </c>
      <c r="C110" t="s">
        <v>233</v>
      </c>
      <c r="D110" t="s">
        <v>238</v>
      </c>
      <c r="E110" t="s">
        <v>237</v>
      </c>
      <c r="F110" t="s">
        <v>229</v>
      </c>
      <c r="G110" t="s">
        <v>231</v>
      </c>
      <c r="H110" t="s">
        <v>228</v>
      </c>
      <c r="I110" t="s">
        <v>230</v>
      </c>
      <c r="J110" t="str">
        <f t="shared" si="1"/>
        <v>011011111100</v>
      </c>
    </row>
    <row r="111" spans="1:10">
      <c r="A111">
        <v>110</v>
      </c>
      <c r="B111" t="s">
        <v>232</v>
      </c>
      <c r="C111" t="s">
        <v>229</v>
      </c>
      <c r="D111" t="s">
        <v>238</v>
      </c>
      <c r="E111" t="s">
        <v>237</v>
      </c>
      <c r="F111" t="s">
        <v>230</v>
      </c>
      <c r="G111" t="s">
        <v>236</v>
      </c>
      <c r="H111" t="s">
        <v>234</v>
      </c>
      <c r="I111" t="s">
        <v>235</v>
      </c>
      <c r="J111" t="str">
        <f t="shared" si="1"/>
        <v>011100011111</v>
      </c>
    </row>
    <row r="112" spans="1:10">
      <c r="A112">
        <v>111</v>
      </c>
      <c r="B112" t="s">
        <v>230</v>
      </c>
      <c r="C112" t="s">
        <v>233</v>
      </c>
      <c r="D112" t="s">
        <v>238</v>
      </c>
      <c r="E112" t="s">
        <v>237</v>
      </c>
      <c r="F112" t="s">
        <v>229</v>
      </c>
      <c r="G112" t="s">
        <v>236</v>
      </c>
      <c r="H112" t="s">
        <v>234</v>
      </c>
      <c r="I112" t="s">
        <v>235</v>
      </c>
      <c r="J112" t="str">
        <f t="shared" si="1"/>
        <v>011100101111</v>
      </c>
    </row>
    <row r="113" spans="1:10">
      <c r="A113">
        <v>112</v>
      </c>
      <c r="B113" t="s">
        <v>232</v>
      </c>
      <c r="C113" t="s">
        <v>233</v>
      </c>
      <c r="D113" t="s">
        <v>238</v>
      </c>
      <c r="E113" t="s">
        <v>237</v>
      </c>
      <c r="F113" t="s">
        <v>229</v>
      </c>
      <c r="G113" t="s">
        <v>236</v>
      </c>
      <c r="H113" t="s">
        <v>234</v>
      </c>
      <c r="I113" t="s">
        <v>235</v>
      </c>
      <c r="J113" t="str">
        <f t="shared" si="1"/>
        <v>011100110111</v>
      </c>
    </row>
    <row r="114" spans="1:10">
      <c r="A114">
        <v>113</v>
      </c>
      <c r="B114" t="s">
        <v>232</v>
      </c>
      <c r="C114" t="s">
        <v>233</v>
      </c>
      <c r="D114" t="s">
        <v>238</v>
      </c>
      <c r="E114" t="s">
        <v>237</v>
      </c>
      <c r="F114" t="s">
        <v>230</v>
      </c>
      <c r="G114" t="s">
        <v>236</v>
      </c>
      <c r="H114" t="s">
        <v>234</v>
      </c>
      <c r="I114" t="s">
        <v>235</v>
      </c>
      <c r="J114" t="str">
        <f t="shared" si="1"/>
        <v>011100111011</v>
      </c>
    </row>
    <row r="115" spans="1:10">
      <c r="A115">
        <v>114</v>
      </c>
      <c r="B115" t="s">
        <v>232</v>
      </c>
      <c r="C115" t="s">
        <v>233</v>
      </c>
      <c r="D115" t="s">
        <v>238</v>
      </c>
      <c r="E115" t="s">
        <v>237</v>
      </c>
      <c r="F115" t="s">
        <v>229</v>
      </c>
      <c r="G115" t="s">
        <v>236</v>
      </c>
      <c r="H115" t="s">
        <v>234</v>
      </c>
      <c r="I115" t="s">
        <v>230</v>
      </c>
      <c r="J115" t="str">
        <f t="shared" si="1"/>
        <v>011100111101</v>
      </c>
    </row>
    <row r="116" spans="1:10">
      <c r="A116">
        <v>115</v>
      </c>
      <c r="B116" t="s">
        <v>232</v>
      </c>
      <c r="C116" t="s">
        <v>233</v>
      </c>
      <c r="D116" t="s">
        <v>238</v>
      </c>
      <c r="E116" t="s">
        <v>237</v>
      </c>
      <c r="F116" t="s">
        <v>229</v>
      </c>
      <c r="G116" t="s">
        <v>236</v>
      </c>
      <c r="H116" t="s">
        <v>230</v>
      </c>
      <c r="I116" t="s">
        <v>235</v>
      </c>
      <c r="J116" t="str">
        <f t="shared" si="1"/>
        <v>011100111110</v>
      </c>
    </row>
    <row r="117" spans="1:10">
      <c r="A117">
        <v>116</v>
      </c>
      <c r="B117" t="s">
        <v>237</v>
      </c>
      <c r="C117" t="s">
        <v>229</v>
      </c>
      <c r="D117" t="s">
        <v>238</v>
      </c>
      <c r="E117" t="s">
        <v>236</v>
      </c>
      <c r="F117" t="s">
        <v>230</v>
      </c>
      <c r="G117" t="s">
        <v>231</v>
      </c>
      <c r="H117" t="s">
        <v>234</v>
      </c>
      <c r="I117" t="s">
        <v>235</v>
      </c>
      <c r="J117" t="str">
        <f t="shared" si="1"/>
        <v>011101001111</v>
      </c>
    </row>
    <row r="118" spans="1:10">
      <c r="A118">
        <v>117</v>
      </c>
      <c r="B118" t="s">
        <v>237</v>
      </c>
      <c r="C118" t="s">
        <v>229</v>
      </c>
      <c r="D118" t="s">
        <v>238</v>
      </c>
      <c r="E118" t="s">
        <v>236</v>
      </c>
      <c r="F118" t="s">
        <v>232</v>
      </c>
      <c r="G118" t="s">
        <v>231</v>
      </c>
      <c r="H118" t="s">
        <v>234</v>
      </c>
      <c r="I118" t="s">
        <v>235</v>
      </c>
      <c r="J118" t="str">
        <f t="shared" si="1"/>
        <v>011101010111</v>
      </c>
    </row>
    <row r="119" spans="1:10">
      <c r="A119">
        <v>118</v>
      </c>
      <c r="B119" t="s">
        <v>237</v>
      </c>
      <c r="C119" t="s">
        <v>230</v>
      </c>
      <c r="D119" t="s">
        <v>238</v>
      </c>
      <c r="E119" t="s">
        <v>236</v>
      </c>
      <c r="F119" t="s">
        <v>232</v>
      </c>
      <c r="G119" t="s">
        <v>231</v>
      </c>
      <c r="H119" t="s">
        <v>234</v>
      </c>
      <c r="I119" t="s">
        <v>235</v>
      </c>
      <c r="J119" t="str">
        <f t="shared" si="1"/>
        <v>011101011011</v>
      </c>
    </row>
    <row r="120" spans="1:10">
      <c r="A120">
        <v>119</v>
      </c>
      <c r="B120" t="s">
        <v>237</v>
      </c>
      <c r="C120" t="s">
        <v>229</v>
      </c>
      <c r="D120" t="s">
        <v>238</v>
      </c>
      <c r="E120" t="s">
        <v>236</v>
      </c>
      <c r="F120" t="s">
        <v>232</v>
      </c>
      <c r="G120" t="s">
        <v>231</v>
      </c>
      <c r="H120" t="s">
        <v>234</v>
      </c>
      <c r="I120" t="s">
        <v>230</v>
      </c>
      <c r="J120" t="str">
        <f t="shared" si="1"/>
        <v>011101011101</v>
      </c>
    </row>
    <row r="121" spans="1:10">
      <c r="A121">
        <v>120</v>
      </c>
      <c r="B121" t="s">
        <v>237</v>
      </c>
      <c r="C121" t="s">
        <v>229</v>
      </c>
      <c r="D121" t="s">
        <v>238</v>
      </c>
      <c r="E121" t="s">
        <v>236</v>
      </c>
      <c r="F121" t="s">
        <v>232</v>
      </c>
      <c r="G121" t="s">
        <v>231</v>
      </c>
      <c r="H121" t="s">
        <v>230</v>
      </c>
      <c r="I121" t="s">
        <v>235</v>
      </c>
      <c r="J121" t="str">
        <f t="shared" si="1"/>
        <v>011101011110</v>
      </c>
    </row>
    <row r="122" spans="1:10">
      <c r="A122">
        <v>121</v>
      </c>
      <c r="B122" t="s">
        <v>237</v>
      </c>
      <c r="C122" t="s">
        <v>233</v>
      </c>
      <c r="D122" t="s">
        <v>238</v>
      </c>
      <c r="E122" t="s">
        <v>236</v>
      </c>
      <c r="F122" t="s">
        <v>229</v>
      </c>
      <c r="G122" t="s">
        <v>231</v>
      </c>
      <c r="H122" t="s">
        <v>234</v>
      </c>
      <c r="I122" t="s">
        <v>235</v>
      </c>
      <c r="J122" t="str">
        <f t="shared" si="1"/>
        <v>011101100111</v>
      </c>
    </row>
    <row r="123" spans="1:10">
      <c r="A123">
        <v>122</v>
      </c>
      <c r="B123" t="s">
        <v>237</v>
      </c>
      <c r="C123" t="s">
        <v>233</v>
      </c>
      <c r="D123" t="s">
        <v>238</v>
      </c>
      <c r="E123" t="s">
        <v>236</v>
      </c>
      <c r="F123" t="s">
        <v>230</v>
      </c>
      <c r="G123" t="s">
        <v>231</v>
      </c>
      <c r="H123" t="s">
        <v>234</v>
      </c>
      <c r="I123" t="s">
        <v>235</v>
      </c>
      <c r="J123" t="str">
        <f t="shared" si="1"/>
        <v>011101101011</v>
      </c>
    </row>
    <row r="124" spans="1:10">
      <c r="A124">
        <v>123</v>
      </c>
      <c r="B124" t="s">
        <v>237</v>
      </c>
      <c r="C124" t="s">
        <v>233</v>
      </c>
      <c r="D124" t="s">
        <v>238</v>
      </c>
      <c r="E124" t="s">
        <v>236</v>
      </c>
      <c r="F124" t="s">
        <v>229</v>
      </c>
      <c r="G124" t="s">
        <v>231</v>
      </c>
      <c r="H124" t="s">
        <v>234</v>
      </c>
      <c r="I124" t="s">
        <v>230</v>
      </c>
      <c r="J124" t="str">
        <f t="shared" si="1"/>
        <v>011101101101</v>
      </c>
    </row>
    <row r="125" spans="1:10">
      <c r="A125">
        <v>124</v>
      </c>
      <c r="B125" t="s">
        <v>237</v>
      </c>
      <c r="C125" t="s">
        <v>233</v>
      </c>
      <c r="D125" t="s">
        <v>238</v>
      </c>
      <c r="E125" t="s">
        <v>236</v>
      </c>
      <c r="F125" t="s">
        <v>229</v>
      </c>
      <c r="G125" t="s">
        <v>231</v>
      </c>
      <c r="H125" t="s">
        <v>230</v>
      </c>
      <c r="I125" t="s">
        <v>235</v>
      </c>
      <c r="J125" t="str">
        <f t="shared" si="1"/>
        <v>011101101110</v>
      </c>
    </row>
    <row r="126" spans="1:10">
      <c r="A126">
        <v>125</v>
      </c>
      <c r="B126" t="s">
        <v>237</v>
      </c>
      <c r="C126" t="s">
        <v>233</v>
      </c>
      <c r="D126" t="s">
        <v>238</v>
      </c>
      <c r="E126" t="s">
        <v>236</v>
      </c>
      <c r="F126" t="s">
        <v>232</v>
      </c>
      <c r="G126" t="s">
        <v>231</v>
      </c>
      <c r="H126" t="s">
        <v>234</v>
      </c>
      <c r="I126" t="s">
        <v>235</v>
      </c>
      <c r="J126" t="str">
        <f t="shared" si="1"/>
        <v>011101110011</v>
      </c>
    </row>
    <row r="127" spans="1:10">
      <c r="A127">
        <v>126</v>
      </c>
      <c r="B127" t="s">
        <v>237</v>
      </c>
      <c r="C127" t="s">
        <v>233</v>
      </c>
      <c r="D127" t="s">
        <v>238</v>
      </c>
      <c r="E127" t="s">
        <v>236</v>
      </c>
      <c r="F127" t="s">
        <v>232</v>
      </c>
      <c r="G127" t="s">
        <v>231</v>
      </c>
      <c r="H127" t="s">
        <v>234</v>
      </c>
      <c r="I127" t="s">
        <v>229</v>
      </c>
      <c r="J127" t="str">
        <f t="shared" si="1"/>
        <v>011101110101</v>
      </c>
    </row>
    <row r="128" spans="1:10">
      <c r="A128">
        <v>127</v>
      </c>
      <c r="B128" t="s">
        <v>232</v>
      </c>
      <c r="C128" t="s">
        <v>233</v>
      </c>
      <c r="D128" t="s">
        <v>238</v>
      </c>
      <c r="E128" t="s">
        <v>237</v>
      </c>
      <c r="F128" t="s">
        <v>229</v>
      </c>
      <c r="G128" t="s">
        <v>231</v>
      </c>
      <c r="H128" t="s">
        <v>236</v>
      </c>
      <c r="I128" t="s">
        <v>235</v>
      </c>
      <c r="J128" t="str">
        <f t="shared" si="1"/>
        <v>011101110110</v>
      </c>
    </row>
    <row r="129" spans="1:10">
      <c r="A129">
        <v>128</v>
      </c>
      <c r="B129" t="s">
        <v>237</v>
      </c>
      <c r="C129" t="s">
        <v>233</v>
      </c>
      <c r="D129" t="s">
        <v>238</v>
      </c>
      <c r="E129" t="s">
        <v>236</v>
      </c>
      <c r="F129" t="s">
        <v>232</v>
      </c>
      <c r="G129" t="s">
        <v>231</v>
      </c>
      <c r="H129" t="s">
        <v>234</v>
      </c>
      <c r="I129" t="s">
        <v>230</v>
      </c>
      <c r="J129" t="str">
        <f t="shared" si="1"/>
        <v>011101111001</v>
      </c>
    </row>
    <row r="130" spans="1:10">
      <c r="A130">
        <v>129</v>
      </c>
      <c r="B130" t="s">
        <v>237</v>
      </c>
      <c r="C130" t="s">
        <v>233</v>
      </c>
      <c r="D130" t="s">
        <v>238</v>
      </c>
      <c r="E130" t="s">
        <v>236</v>
      </c>
      <c r="F130" t="s">
        <v>232</v>
      </c>
      <c r="G130" t="s">
        <v>231</v>
      </c>
      <c r="H130" t="s">
        <v>230</v>
      </c>
      <c r="I130" t="s">
        <v>235</v>
      </c>
      <c r="J130" t="str">
        <f t="shared" ref="J130:J193" si="2">COUNTIF($B130:$I130,"*A") &amp; COUNTIF($B130:$I130,"*B") &amp; COUNTIF($B130:$I130,"*C") &amp; COUNTIF($B130:$I130,"*D") &amp; COUNTIF($B130:$I130,"*E") &amp; COUNTIF($B130:$I130,"*F") &amp; COUNTIF($B130:$I130,"*G") &amp; COUNTIF($B130:$I130,"*H") &amp; COUNTIF($B130:$I130,"*I") &amp; COUNTIF($B130:$I130,"*J") &amp; COUNTIF($B130:$I130,"*K") &amp; COUNTIF($B130:$I130,"*L")</f>
        <v>011101111010</v>
      </c>
    </row>
    <row r="131" spans="1:10">
      <c r="A131">
        <v>130</v>
      </c>
      <c r="B131" t="s">
        <v>232</v>
      </c>
      <c r="C131" t="s">
        <v>233</v>
      </c>
      <c r="D131" t="s">
        <v>238</v>
      </c>
      <c r="E131" t="s">
        <v>237</v>
      </c>
      <c r="F131" t="s">
        <v>229</v>
      </c>
      <c r="G131" t="s">
        <v>231</v>
      </c>
      <c r="H131" t="s">
        <v>236</v>
      </c>
      <c r="I131" t="s">
        <v>230</v>
      </c>
      <c r="J131" t="str">
        <f t="shared" si="2"/>
        <v>011101111100</v>
      </c>
    </row>
    <row r="132" spans="1:10">
      <c r="A132">
        <v>131</v>
      </c>
      <c r="B132" t="s">
        <v>228</v>
      </c>
      <c r="C132" t="s">
        <v>229</v>
      </c>
      <c r="D132" t="s">
        <v>238</v>
      </c>
      <c r="E132" t="s">
        <v>237</v>
      </c>
      <c r="F132" t="s">
        <v>230</v>
      </c>
      <c r="G132" t="s">
        <v>236</v>
      </c>
      <c r="H132" t="s">
        <v>234</v>
      </c>
      <c r="I132" t="s">
        <v>235</v>
      </c>
      <c r="J132" t="str">
        <f t="shared" si="2"/>
        <v>011110001111</v>
      </c>
    </row>
    <row r="133" spans="1:10">
      <c r="A133">
        <v>132</v>
      </c>
      <c r="B133" t="s">
        <v>228</v>
      </c>
      <c r="C133" t="s">
        <v>229</v>
      </c>
      <c r="D133" t="s">
        <v>238</v>
      </c>
      <c r="E133" t="s">
        <v>237</v>
      </c>
      <c r="F133" t="s">
        <v>232</v>
      </c>
      <c r="G133" t="s">
        <v>236</v>
      </c>
      <c r="H133" t="s">
        <v>234</v>
      </c>
      <c r="I133" t="s">
        <v>235</v>
      </c>
      <c r="J133" t="str">
        <f t="shared" si="2"/>
        <v>011110010111</v>
      </c>
    </row>
    <row r="134" spans="1:10">
      <c r="A134">
        <v>133</v>
      </c>
      <c r="B134" t="s">
        <v>228</v>
      </c>
      <c r="C134" t="s">
        <v>230</v>
      </c>
      <c r="D134" t="s">
        <v>238</v>
      </c>
      <c r="E134" t="s">
        <v>237</v>
      </c>
      <c r="F134" t="s">
        <v>232</v>
      </c>
      <c r="G134" t="s">
        <v>236</v>
      </c>
      <c r="H134" t="s">
        <v>234</v>
      </c>
      <c r="I134" t="s">
        <v>235</v>
      </c>
      <c r="J134" t="str">
        <f t="shared" si="2"/>
        <v>011110011011</v>
      </c>
    </row>
    <row r="135" spans="1:10">
      <c r="A135">
        <v>134</v>
      </c>
      <c r="B135" t="s">
        <v>228</v>
      </c>
      <c r="C135" t="s">
        <v>229</v>
      </c>
      <c r="D135" t="s">
        <v>238</v>
      </c>
      <c r="E135" t="s">
        <v>237</v>
      </c>
      <c r="F135" t="s">
        <v>232</v>
      </c>
      <c r="G135" t="s">
        <v>236</v>
      </c>
      <c r="H135" t="s">
        <v>234</v>
      </c>
      <c r="I135" t="s">
        <v>230</v>
      </c>
      <c r="J135" t="str">
        <f t="shared" si="2"/>
        <v>011110011101</v>
      </c>
    </row>
    <row r="136" spans="1:10">
      <c r="A136">
        <v>135</v>
      </c>
      <c r="B136" t="s">
        <v>228</v>
      </c>
      <c r="C136" t="s">
        <v>229</v>
      </c>
      <c r="D136" t="s">
        <v>238</v>
      </c>
      <c r="E136" t="s">
        <v>237</v>
      </c>
      <c r="F136" t="s">
        <v>232</v>
      </c>
      <c r="G136" t="s">
        <v>236</v>
      </c>
      <c r="H136" t="s">
        <v>230</v>
      </c>
      <c r="I136" t="s">
        <v>235</v>
      </c>
      <c r="J136" t="str">
        <f t="shared" si="2"/>
        <v>011110011110</v>
      </c>
    </row>
    <row r="137" spans="1:10">
      <c r="A137">
        <v>136</v>
      </c>
      <c r="B137" t="s">
        <v>228</v>
      </c>
      <c r="C137" t="s">
        <v>233</v>
      </c>
      <c r="D137" t="s">
        <v>238</v>
      </c>
      <c r="E137" t="s">
        <v>237</v>
      </c>
      <c r="F137" t="s">
        <v>229</v>
      </c>
      <c r="G137" t="s">
        <v>236</v>
      </c>
      <c r="H137" t="s">
        <v>234</v>
      </c>
      <c r="I137" t="s">
        <v>235</v>
      </c>
      <c r="J137" t="str">
        <f t="shared" si="2"/>
        <v>011110100111</v>
      </c>
    </row>
    <row r="138" spans="1:10">
      <c r="A138">
        <v>137</v>
      </c>
      <c r="B138" t="s">
        <v>228</v>
      </c>
      <c r="C138" t="s">
        <v>233</v>
      </c>
      <c r="D138" t="s">
        <v>238</v>
      </c>
      <c r="E138" t="s">
        <v>237</v>
      </c>
      <c r="F138" t="s">
        <v>230</v>
      </c>
      <c r="G138" t="s">
        <v>236</v>
      </c>
      <c r="H138" t="s">
        <v>234</v>
      </c>
      <c r="I138" t="s">
        <v>235</v>
      </c>
      <c r="J138" t="str">
        <f t="shared" si="2"/>
        <v>011110101011</v>
      </c>
    </row>
    <row r="139" spans="1:10">
      <c r="A139">
        <v>138</v>
      </c>
      <c r="B139" t="s">
        <v>228</v>
      </c>
      <c r="C139" t="s">
        <v>233</v>
      </c>
      <c r="D139" t="s">
        <v>238</v>
      </c>
      <c r="E139" t="s">
        <v>237</v>
      </c>
      <c r="F139" t="s">
        <v>229</v>
      </c>
      <c r="G139" t="s">
        <v>236</v>
      </c>
      <c r="H139" t="s">
        <v>234</v>
      </c>
      <c r="I139" t="s">
        <v>230</v>
      </c>
      <c r="J139" t="str">
        <f t="shared" si="2"/>
        <v>011110101101</v>
      </c>
    </row>
    <row r="140" spans="1:10">
      <c r="A140">
        <v>139</v>
      </c>
      <c r="B140" t="s">
        <v>228</v>
      </c>
      <c r="C140" t="s">
        <v>233</v>
      </c>
      <c r="D140" t="s">
        <v>238</v>
      </c>
      <c r="E140" t="s">
        <v>237</v>
      </c>
      <c r="F140" t="s">
        <v>229</v>
      </c>
      <c r="G140" t="s">
        <v>236</v>
      </c>
      <c r="H140" t="s">
        <v>230</v>
      </c>
      <c r="I140" t="s">
        <v>235</v>
      </c>
      <c r="J140" t="str">
        <f t="shared" si="2"/>
        <v>011110101110</v>
      </c>
    </row>
    <row r="141" spans="1:10">
      <c r="A141">
        <v>140</v>
      </c>
      <c r="B141" t="s">
        <v>228</v>
      </c>
      <c r="C141" t="s">
        <v>233</v>
      </c>
      <c r="D141" t="s">
        <v>238</v>
      </c>
      <c r="E141" t="s">
        <v>237</v>
      </c>
      <c r="F141" t="s">
        <v>232</v>
      </c>
      <c r="G141" t="s">
        <v>236</v>
      </c>
      <c r="H141" t="s">
        <v>234</v>
      </c>
      <c r="I141" t="s">
        <v>235</v>
      </c>
      <c r="J141" t="str">
        <f t="shared" si="2"/>
        <v>011110110011</v>
      </c>
    </row>
    <row r="142" spans="1:10">
      <c r="A142">
        <v>141</v>
      </c>
      <c r="B142" t="s">
        <v>232</v>
      </c>
      <c r="C142" t="s">
        <v>233</v>
      </c>
      <c r="D142" t="s">
        <v>238</v>
      </c>
      <c r="E142" t="s">
        <v>237</v>
      </c>
      <c r="F142" t="s">
        <v>229</v>
      </c>
      <c r="G142" t="s">
        <v>236</v>
      </c>
      <c r="H142" t="s">
        <v>234</v>
      </c>
      <c r="I142" t="s">
        <v>228</v>
      </c>
      <c r="J142" t="str">
        <f t="shared" si="2"/>
        <v>011110110101</v>
      </c>
    </row>
    <row r="143" spans="1:10">
      <c r="A143">
        <v>142</v>
      </c>
      <c r="B143" t="s">
        <v>232</v>
      </c>
      <c r="C143" t="s">
        <v>233</v>
      </c>
      <c r="D143" t="s">
        <v>238</v>
      </c>
      <c r="E143" t="s">
        <v>237</v>
      </c>
      <c r="F143" t="s">
        <v>229</v>
      </c>
      <c r="G143" t="s">
        <v>236</v>
      </c>
      <c r="H143" t="s">
        <v>228</v>
      </c>
      <c r="I143" t="s">
        <v>235</v>
      </c>
      <c r="J143" t="str">
        <f t="shared" si="2"/>
        <v>011110110110</v>
      </c>
    </row>
    <row r="144" spans="1:10">
      <c r="A144">
        <v>143</v>
      </c>
      <c r="B144" t="s">
        <v>228</v>
      </c>
      <c r="C144" t="s">
        <v>233</v>
      </c>
      <c r="D144" t="s">
        <v>238</v>
      </c>
      <c r="E144" t="s">
        <v>237</v>
      </c>
      <c r="F144" t="s">
        <v>232</v>
      </c>
      <c r="G144" t="s">
        <v>236</v>
      </c>
      <c r="H144" t="s">
        <v>234</v>
      </c>
      <c r="I144" t="s">
        <v>230</v>
      </c>
      <c r="J144" t="str">
        <f t="shared" si="2"/>
        <v>011110111001</v>
      </c>
    </row>
    <row r="145" spans="1:10">
      <c r="A145">
        <v>144</v>
      </c>
      <c r="B145" t="s">
        <v>228</v>
      </c>
      <c r="C145" t="s">
        <v>233</v>
      </c>
      <c r="D145" t="s">
        <v>238</v>
      </c>
      <c r="E145" t="s">
        <v>237</v>
      </c>
      <c r="F145" t="s">
        <v>232</v>
      </c>
      <c r="G145" t="s">
        <v>236</v>
      </c>
      <c r="H145" t="s">
        <v>230</v>
      </c>
      <c r="I145" t="s">
        <v>235</v>
      </c>
      <c r="J145" t="str">
        <f t="shared" si="2"/>
        <v>011110111010</v>
      </c>
    </row>
    <row r="146" spans="1:10">
      <c r="A146">
        <v>145</v>
      </c>
      <c r="B146" t="s">
        <v>232</v>
      </c>
      <c r="C146" t="s">
        <v>233</v>
      </c>
      <c r="D146" t="s">
        <v>238</v>
      </c>
      <c r="E146" t="s">
        <v>237</v>
      </c>
      <c r="F146" t="s">
        <v>229</v>
      </c>
      <c r="G146" t="s">
        <v>236</v>
      </c>
      <c r="H146" t="s">
        <v>228</v>
      </c>
      <c r="I146" t="s">
        <v>230</v>
      </c>
      <c r="J146" t="str">
        <f t="shared" si="2"/>
        <v>011110111100</v>
      </c>
    </row>
    <row r="147" spans="1:10">
      <c r="A147">
        <v>146</v>
      </c>
      <c r="B147" t="s">
        <v>237</v>
      </c>
      <c r="C147" t="s">
        <v>229</v>
      </c>
      <c r="D147" t="s">
        <v>238</v>
      </c>
      <c r="E147" t="s">
        <v>236</v>
      </c>
      <c r="F147" t="s">
        <v>228</v>
      </c>
      <c r="G147" t="s">
        <v>231</v>
      </c>
      <c r="H147" t="s">
        <v>234</v>
      </c>
      <c r="I147" t="s">
        <v>235</v>
      </c>
      <c r="J147" t="str">
        <f t="shared" si="2"/>
        <v>011111000111</v>
      </c>
    </row>
    <row r="148" spans="1:10">
      <c r="A148">
        <v>147</v>
      </c>
      <c r="B148" t="s">
        <v>237</v>
      </c>
      <c r="C148" t="s">
        <v>228</v>
      </c>
      <c r="D148" t="s">
        <v>238</v>
      </c>
      <c r="E148" t="s">
        <v>236</v>
      </c>
      <c r="F148" t="s">
        <v>230</v>
      </c>
      <c r="G148" t="s">
        <v>231</v>
      </c>
      <c r="H148" t="s">
        <v>234</v>
      </c>
      <c r="I148" t="s">
        <v>235</v>
      </c>
      <c r="J148" t="str">
        <f t="shared" si="2"/>
        <v>011111001011</v>
      </c>
    </row>
    <row r="149" spans="1:10">
      <c r="A149">
        <v>148</v>
      </c>
      <c r="B149" t="s">
        <v>237</v>
      </c>
      <c r="C149" t="s">
        <v>229</v>
      </c>
      <c r="D149" t="s">
        <v>238</v>
      </c>
      <c r="E149" t="s">
        <v>236</v>
      </c>
      <c r="F149" t="s">
        <v>228</v>
      </c>
      <c r="G149" t="s">
        <v>231</v>
      </c>
      <c r="H149" t="s">
        <v>234</v>
      </c>
      <c r="I149" t="s">
        <v>230</v>
      </c>
      <c r="J149" t="str">
        <f t="shared" si="2"/>
        <v>011111001101</v>
      </c>
    </row>
    <row r="150" spans="1:10">
      <c r="A150">
        <v>149</v>
      </c>
      <c r="B150" t="s">
        <v>237</v>
      </c>
      <c r="C150" t="s">
        <v>229</v>
      </c>
      <c r="D150" t="s">
        <v>238</v>
      </c>
      <c r="E150" t="s">
        <v>236</v>
      </c>
      <c r="F150" t="s">
        <v>228</v>
      </c>
      <c r="G150" t="s">
        <v>231</v>
      </c>
      <c r="H150" t="s">
        <v>230</v>
      </c>
      <c r="I150" t="s">
        <v>235</v>
      </c>
      <c r="J150" t="str">
        <f t="shared" si="2"/>
        <v>011111001110</v>
      </c>
    </row>
    <row r="151" spans="1:10">
      <c r="A151">
        <v>150</v>
      </c>
      <c r="B151" t="s">
        <v>237</v>
      </c>
      <c r="C151" t="s">
        <v>228</v>
      </c>
      <c r="D151" t="s">
        <v>238</v>
      </c>
      <c r="E151" t="s">
        <v>236</v>
      </c>
      <c r="F151" t="s">
        <v>232</v>
      </c>
      <c r="G151" t="s">
        <v>231</v>
      </c>
      <c r="H151" t="s">
        <v>234</v>
      </c>
      <c r="I151" t="s">
        <v>235</v>
      </c>
      <c r="J151" t="str">
        <f t="shared" si="2"/>
        <v>011111010011</v>
      </c>
    </row>
    <row r="152" spans="1:10">
      <c r="A152">
        <v>151</v>
      </c>
      <c r="B152" t="s">
        <v>237</v>
      </c>
      <c r="C152" t="s">
        <v>229</v>
      </c>
      <c r="D152" t="s">
        <v>238</v>
      </c>
      <c r="E152" t="s">
        <v>236</v>
      </c>
      <c r="F152" t="s">
        <v>232</v>
      </c>
      <c r="G152" t="s">
        <v>231</v>
      </c>
      <c r="H152" t="s">
        <v>234</v>
      </c>
      <c r="I152" t="s">
        <v>228</v>
      </c>
      <c r="J152" t="str">
        <f t="shared" si="2"/>
        <v>011111010101</v>
      </c>
    </row>
    <row r="153" spans="1:10">
      <c r="A153">
        <v>152</v>
      </c>
      <c r="B153" t="s">
        <v>237</v>
      </c>
      <c r="C153" t="s">
        <v>229</v>
      </c>
      <c r="D153" t="s">
        <v>238</v>
      </c>
      <c r="E153" t="s">
        <v>236</v>
      </c>
      <c r="F153" t="s">
        <v>232</v>
      </c>
      <c r="G153" t="s">
        <v>231</v>
      </c>
      <c r="H153" t="s">
        <v>228</v>
      </c>
      <c r="I153" t="s">
        <v>235</v>
      </c>
      <c r="J153" t="str">
        <f t="shared" si="2"/>
        <v>011111010110</v>
      </c>
    </row>
    <row r="154" spans="1:10">
      <c r="A154">
        <v>153</v>
      </c>
      <c r="B154" t="s">
        <v>237</v>
      </c>
      <c r="C154" t="s">
        <v>228</v>
      </c>
      <c r="D154" t="s">
        <v>238</v>
      </c>
      <c r="E154" t="s">
        <v>236</v>
      </c>
      <c r="F154" t="s">
        <v>232</v>
      </c>
      <c r="G154" t="s">
        <v>231</v>
      </c>
      <c r="H154" t="s">
        <v>234</v>
      </c>
      <c r="I154" t="s">
        <v>230</v>
      </c>
      <c r="J154" t="str">
        <f t="shared" si="2"/>
        <v>011111011001</v>
      </c>
    </row>
    <row r="155" spans="1:10">
      <c r="A155">
        <v>154</v>
      </c>
      <c r="B155" t="s">
        <v>237</v>
      </c>
      <c r="C155" t="s">
        <v>228</v>
      </c>
      <c r="D155" t="s">
        <v>238</v>
      </c>
      <c r="E155" t="s">
        <v>236</v>
      </c>
      <c r="F155" t="s">
        <v>232</v>
      </c>
      <c r="G155" t="s">
        <v>231</v>
      </c>
      <c r="H155" t="s">
        <v>230</v>
      </c>
      <c r="I155" t="s">
        <v>235</v>
      </c>
      <c r="J155" t="str">
        <f t="shared" si="2"/>
        <v>011111011010</v>
      </c>
    </row>
    <row r="156" spans="1:10">
      <c r="A156">
        <v>155</v>
      </c>
      <c r="B156" t="s">
        <v>237</v>
      </c>
      <c r="C156" t="s">
        <v>229</v>
      </c>
      <c r="D156" t="s">
        <v>238</v>
      </c>
      <c r="E156" t="s">
        <v>236</v>
      </c>
      <c r="F156" t="s">
        <v>232</v>
      </c>
      <c r="G156" t="s">
        <v>231</v>
      </c>
      <c r="H156" t="s">
        <v>228</v>
      </c>
      <c r="I156" t="s">
        <v>230</v>
      </c>
      <c r="J156" t="str">
        <f t="shared" si="2"/>
        <v>011111011100</v>
      </c>
    </row>
    <row r="157" spans="1:10">
      <c r="A157">
        <v>156</v>
      </c>
      <c r="B157" t="s">
        <v>237</v>
      </c>
      <c r="C157" t="s">
        <v>233</v>
      </c>
      <c r="D157" t="s">
        <v>238</v>
      </c>
      <c r="E157" t="s">
        <v>236</v>
      </c>
      <c r="F157" t="s">
        <v>228</v>
      </c>
      <c r="G157" t="s">
        <v>231</v>
      </c>
      <c r="H157" t="s">
        <v>234</v>
      </c>
      <c r="I157" t="s">
        <v>235</v>
      </c>
      <c r="J157" t="str">
        <f t="shared" si="2"/>
        <v>011111100011</v>
      </c>
    </row>
    <row r="158" spans="1:10">
      <c r="A158">
        <v>157</v>
      </c>
      <c r="B158" t="s">
        <v>237</v>
      </c>
      <c r="C158" t="s">
        <v>233</v>
      </c>
      <c r="D158" t="s">
        <v>238</v>
      </c>
      <c r="E158" t="s">
        <v>236</v>
      </c>
      <c r="F158" t="s">
        <v>229</v>
      </c>
      <c r="G158" t="s">
        <v>231</v>
      </c>
      <c r="H158" t="s">
        <v>234</v>
      </c>
      <c r="I158" t="s">
        <v>228</v>
      </c>
      <c r="J158" t="str">
        <f t="shared" si="2"/>
        <v>011111100101</v>
      </c>
    </row>
    <row r="159" spans="1:10">
      <c r="A159">
        <v>158</v>
      </c>
      <c r="B159" t="s">
        <v>237</v>
      </c>
      <c r="C159" t="s">
        <v>233</v>
      </c>
      <c r="D159" t="s">
        <v>238</v>
      </c>
      <c r="E159" t="s">
        <v>236</v>
      </c>
      <c r="F159" t="s">
        <v>229</v>
      </c>
      <c r="G159" t="s">
        <v>231</v>
      </c>
      <c r="H159" t="s">
        <v>228</v>
      </c>
      <c r="I159" t="s">
        <v>235</v>
      </c>
      <c r="J159" t="str">
        <f t="shared" si="2"/>
        <v>011111100110</v>
      </c>
    </row>
    <row r="160" spans="1:10">
      <c r="A160">
        <v>159</v>
      </c>
      <c r="B160" t="s">
        <v>237</v>
      </c>
      <c r="C160" t="s">
        <v>233</v>
      </c>
      <c r="D160" t="s">
        <v>238</v>
      </c>
      <c r="E160" t="s">
        <v>236</v>
      </c>
      <c r="F160" t="s">
        <v>228</v>
      </c>
      <c r="G160" t="s">
        <v>231</v>
      </c>
      <c r="H160" t="s">
        <v>234</v>
      </c>
      <c r="I160" t="s">
        <v>230</v>
      </c>
      <c r="J160" t="str">
        <f t="shared" si="2"/>
        <v>011111101001</v>
      </c>
    </row>
    <row r="161" spans="1:10">
      <c r="A161">
        <v>160</v>
      </c>
      <c r="B161" t="s">
        <v>237</v>
      </c>
      <c r="C161" t="s">
        <v>233</v>
      </c>
      <c r="D161" t="s">
        <v>238</v>
      </c>
      <c r="E161" t="s">
        <v>236</v>
      </c>
      <c r="F161" t="s">
        <v>228</v>
      </c>
      <c r="G161" t="s">
        <v>231</v>
      </c>
      <c r="H161" t="s">
        <v>230</v>
      </c>
      <c r="I161" t="s">
        <v>235</v>
      </c>
      <c r="J161" t="str">
        <f t="shared" si="2"/>
        <v>011111101010</v>
      </c>
    </row>
    <row r="162" spans="1:10">
      <c r="A162">
        <v>161</v>
      </c>
      <c r="B162" t="s">
        <v>237</v>
      </c>
      <c r="C162" t="s">
        <v>233</v>
      </c>
      <c r="D162" t="s">
        <v>238</v>
      </c>
      <c r="E162" t="s">
        <v>236</v>
      </c>
      <c r="F162" t="s">
        <v>229</v>
      </c>
      <c r="G162" t="s">
        <v>231</v>
      </c>
      <c r="H162" t="s">
        <v>228</v>
      </c>
      <c r="I162" t="s">
        <v>230</v>
      </c>
      <c r="J162" t="str">
        <f t="shared" si="2"/>
        <v>011111101100</v>
      </c>
    </row>
    <row r="163" spans="1:10">
      <c r="A163">
        <v>162</v>
      </c>
      <c r="B163" t="s">
        <v>237</v>
      </c>
      <c r="C163" t="s">
        <v>233</v>
      </c>
      <c r="D163" t="s">
        <v>238</v>
      </c>
      <c r="E163" t="s">
        <v>236</v>
      </c>
      <c r="F163" t="s">
        <v>232</v>
      </c>
      <c r="G163" t="s">
        <v>231</v>
      </c>
      <c r="H163" t="s">
        <v>234</v>
      </c>
      <c r="I163" t="s">
        <v>228</v>
      </c>
      <c r="J163" t="str">
        <f t="shared" si="2"/>
        <v>011111110001</v>
      </c>
    </row>
    <row r="164" spans="1:10">
      <c r="A164">
        <v>163</v>
      </c>
      <c r="B164" t="s">
        <v>237</v>
      </c>
      <c r="C164" t="s">
        <v>233</v>
      </c>
      <c r="D164" t="s">
        <v>238</v>
      </c>
      <c r="E164" t="s">
        <v>236</v>
      </c>
      <c r="F164" t="s">
        <v>232</v>
      </c>
      <c r="G164" t="s">
        <v>231</v>
      </c>
      <c r="H164" t="s">
        <v>228</v>
      </c>
      <c r="I164" t="s">
        <v>235</v>
      </c>
      <c r="J164" t="str">
        <f t="shared" si="2"/>
        <v>011111110010</v>
      </c>
    </row>
    <row r="165" spans="1:10">
      <c r="A165">
        <v>164</v>
      </c>
      <c r="B165" t="s">
        <v>232</v>
      </c>
      <c r="C165" t="s">
        <v>233</v>
      </c>
      <c r="D165" t="s">
        <v>238</v>
      </c>
      <c r="E165" t="s">
        <v>237</v>
      </c>
      <c r="F165" t="s">
        <v>229</v>
      </c>
      <c r="G165" t="s">
        <v>231</v>
      </c>
      <c r="H165" t="s">
        <v>236</v>
      </c>
      <c r="I165" t="s">
        <v>228</v>
      </c>
      <c r="J165" t="str">
        <f t="shared" si="2"/>
        <v>011111110100</v>
      </c>
    </row>
    <row r="166" spans="1:10">
      <c r="A166">
        <v>165</v>
      </c>
      <c r="B166" t="s">
        <v>237</v>
      </c>
      <c r="C166" t="s">
        <v>233</v>
      </c>
      <c r="D166" t="s">
        <v>238</v>
      </c>
      <c r="E166" t="s">
        <v>236</v>
      </c>
      <c r="F166" t="s">
        <v>232</v>
      </c>
      <c r="G166" t="s">
        <v>231</v>
      </c>
      <c r="H166" t="s">
        <v>228</v>
      </c>
      <c r="I166" t="s">
        <v>230</v>
      </c>
      <c r="J166" t="str">
        <f t="shared" si="2"/>
        <v>011111111000</v>
      </c>
    </row>
    <row r="167" spans="1:10">
      <c r="A167">
        <v>166</v>
      </c>
      <c r="B167" t="s">
        <v>232</v>
      </c>
      <c r="C167" t="s">
        <v>229</v>
      </c>
      <c r="D167" t="s">
        <v>230</v>
      </c>
      <c r="E167" t="s">
        <v>231</v>
      </c>
      <c r="F167" t="s">
        <v>239</v>
      </c>
      <c r="G167" t="s">
        <v>233</v>
      </c>
      <c r="H167" t="s">
        <v>234</v>
      </c>
      <c r="I167" t="s">
        <v>235</v>
      </c>
      <c r="J167" t="str">
        <f t="shared" si="2"/>
        <v>100001111111</v>
      </c>
    </row>
    <row r="168" spans="1:10">
      <c r="A168">
        <v>167</v>
      </c>
      <c r="B168" t="s">
        <v>228</v>
      </c>
      <c r="C168" t="s">
        <v>229</v>
      </c>
      <c r="D168" t="s">
        <v>230</v>
      </c>
      <c r="E168" t="s">
        <v>239</v>
      </c>
      <c r="F168" t="s">
        <v>232</v>
      </c>
      <c r="G168" t="s">
        <v>233</v>
      </c>
      <c r="H168" t="s">
        <v>234</v>
      </c>
      <c r="I168" t="s">
        <v>235</v>
      </c>
      <c r="J168" t="str">
        <f t="shared" si="2"/>
        <v>100010111111</v>
      </c>
    </row>
    <row r="169" spans="1:10">
      <c r="A169">
        <v>168</v>
      </c>
      <c r="B169" t="s">
        <v>228</v>
      </c>
      <c r="C169" t="s">
        <v>229</v>
      </c>
      <c r="D169" t="s">
        <v>230</v>
      </c>
      <c r="E169" t="s">
        <v>231</v>
      </c>
      <c r="F169" t="s">
        <v>239</v>
      </c>
      <c r="G169" t="s">
        <v>232</v>
      </c>
      <c r="H169" t="s">
        <v>234</v>
      </c>
      <c r="I169" t="s">
        <v>235</v>
      </c>
      <c r="J169" t="str">
        <f t="shared" si="2"/>
        <v>100011011111</v>
      </c>
    </row>
    <row r="170" spans="1:10">
      <c r="A170">
        <v>169</v>
      </c>
      <c r="B170" t="s">
        <v>228</v>
      </c>
      <c r="C170" t="s">
        <v>229</v>
      </c>
      <c r="D170" t="s">
        <v>230</v>
      </c>
      <c r="E170" t="s">
        <v>231</v>
      </c>
      <c r="F170" t="s">
        <v>239</v>
      </c>
      <c r="G170" t="s">
        <v>233</v>
      </c>
      <c r="H170" t="s">
        <v>234</v>
      </c>
      <c r="I170" t="s">
        <v>235</v>
      </c>
      <c r="J170" t="str">
        <f t="shared" si="2"/>
        <v>100011101111</v>
      </c>
    </row>
    <row r="171" spans="1:10">
      <c r="A171">
        <v>170</v>
      </c>
      <c r="B171" t="s">
        <v>228</v>
      </c>
      <c r="C171" t="s">
        <v>233</v>
      </c>
      <c r="D171" t="s">
        <v>229</v>
      </c>
      <c r="E171" t="s">
        <v>231</v>
      </c>
      <c r="F171" t="s">
        <v>239</v>
      </c>
      <c r="G171" t="s">
        <v>232</v>
      </c>
      <c r="H171" t="s">
        <v>234</v>
      </c>
      <c r="I171" t="s">
        <v>235</v>
      </c>
      <c r="J171" t="str">
        <f t="shared" si="2"/>
        <v>100011110111</v>
      </c>
    </row>
    <row r="172" spans="1:10">
      <c r="A172">
        <v>171</v>
      </c>
      <c r="B172" t="s">
        <v>228</v>
      </c>
      <c r="C172" t="s">
        <v>233</v>
      </c>
      <c r="D172" t="s">
        <v>230</v>
      </c>
      <c r="E172" t="s">
        <v>231</v>
      </c>
      <c r="F172" t="s">
        <v>239</v>
      </c>
      <c r="G172" t="s">
        <v>232</v>
      </c>
      <c r="H172" t="s">
        <v>234</v>
      </c>
      <c r="I172" t="s">
        <v>235</v>
      </c>
      <c r="J172" t="str">
        <f t="shared" si="2"/>
        <v>100011111011</v>
      </c>
    </row>
    <row r="173" spans="1:10">
      <c r="A173">
        <v>172</v>
      </c>
      <c r="B173" t="s">
        <v>228</v>
      </c>
      <c r="C173" t="s">
        <v>233</v>
      </c>
      <c r="D173" t="s">
        <v>229</v>
      </c>
      <c r="E173" t="s">
        <v>231</v>
      </c>
      <c r="F173" t="s">
        <v>239</v>
      </c>
      <c r="G173" t="s">
        <v>232</v>
      </c>
      <c r="H173" t="s">
        <v>234</v>
      </c>
      <c r="I173" t="s">
        <v>230</v>
      </c>
      <c r="J173" t="str">
        <f t="shared" si="2"/>
        <v>100011111101</v>
      </c>
    </row>
    <row r="174" spans="1:10">
      <c r="A174">
        <v>173</v>
      </c>
      <c r="B174" t="s">
        <v>228</v>
      </c>
      <c r="C174" t="s">
        <v>233</v>
      </c>
      <c r="D174" t="s">
        <v>229</v>
      </c>
      <c r="E174" t="s">
        <v>231</v>
      </c>
      <c r="F174" t="s">
        <v>239</v>
      </c>
      <c r="G174" t="s">
        <v>232</v>
      </c>
      <c r="H174" t="s">
        <v>230</v>
      </c>
      <c r="I174" t="s">
        <v>235</v>
      </c>
      <c r="J174" t="str">
        <f t="shared" si="2"/>
        <v>100011111110</v>
      </c>
    </row>
    <row r="175" spans="1:10">
      <c r="A175">
        <v>174</v>
      </c>
      <c r="B175" t="s">
        <v>232</v>
      </c>
      <c r="C175" t="s">
        <v>229</v>
      </c>
      <c r="D175" t="s">
        <v>230</v>
      </c>
      <c r="E175" t="s">
        <v>236</v>
      </c>
      <c r="F175" t="s">
        <v>239</v>
      </c>
      <c r="G175" t="s">
        <v>233</v>
      </c>
      <c r="H175" t="s">
        <v>234</v>
      </c>
      <c r="I175" t="s">
        <v>235</v>
      </c>
      <c r="J175" t="str">
        <f t="shared" si="2"/>
        <v>100100111111</v>
      </c>
    </row>
    <row r="176" spans="1:10">
      <c r="A176">
        <v>175</v>
      </c>
      <c r="B176" t="s">
        <v>232</v>
      </c>
      <c r="C176" t="s">
        <v>229</v>
      </c>
      <c r="D176" t="s">
        <v>230</v>
      </c>
      <c r="E176" t="s">
        <v>236</v>
      </c>
      <c r="F176" t="s">
        <v>239</v>
      </c>
      <c r="G176" t="s">
        <v>231</v>
      </c>
      <c r="H176" t="s">
        <v>234</v>
      </c>
      <c r="I176" t="s">
        <v>235</v>
      </c>
      <c r="J176" t="str">
        <f t="shared" si="2"/>
        <v>100101011111</v>
      </c>
    </row>
    <row r="177" spans="1:10">
      <c r="A177">
        <v>176</v>
      </c>
      <c r="B177" t="s">
        <v>230</v>
      </c>
      <c r="C177" t="s">
        <v>233</v>
      </c>
      <c r="D177" t="s">
        <v>229</v>
      </c>
      <c r="E177" t="s">
        <v>236</v>
      </c>
      <c r="F177" t="s">
        <v>239</v>
      </c>
      <c r="G177" t="s">
        <v>231</v>
      </c>
      <c r="H177" t="s">
        <v>234</v>
      </c>
      <c r="I177" t="s">
        <v>235</v>
      </c>
      <c r="J177" t="str">
        <f t="shared" si="2"/>
        <v>100101101111</v>
      </c>
    </row>
    <row r="178" spans="1:10">
      <c r="A178">
        <v>177</v>
      </c>
      <c r="B178" t="s">
        <v>232</v>
      </c>
      <c r="C178" t="s">
        <v>233</v>
      </c>
      <c r="D178" t="s">
        <v>229</v>
      </c>
      <c r="E178" t="s">
        <v>236</v>
      </c>
      <c r="F178" t="s">
        <v>239</v>
      </c>
      <c r="G178" t="s">
        <v>231</v>
      </c>
      <c r="H178" t="s">
        <v>234</v>
      </c>
      <c r="I178" t="s">
        <v>235</v>
      </c>
      <c r="J178" t="str">
        <f t="shared" si="2"/>
        <v>100101110111</v>
      </c>
    </row>
    <row r="179" spans="1:10">
      <c r="A179">
        <v>178</v>
      </c>
      <c r="B179" t="s">
        <v>232</v>
      </c>
      <c r="C179" t="s">
        <v>233</v>
      </c>
      <c r="D179" t="s">
        <v>230</v>
      </c>
      <c r="E179" t="s">
        <v>236</v>
      </c>
      <c r="F179" t="s">
        <v>239</v>
      </c>
      <c r="G179" t="s">
        <v>231</v>
      </c>
      <c r="H179" t="s">
        <v>234</v>
      </c>
      <c r="I179" t="s">
        <v>235</v>
      </c>
      <c r="J179" t="str">
        <f t="shared" si="2"/>
        <v>100101111011</v>
      </c>
    </row>
    <row r="180" spans="1:10">
      <c r="A180">
        <v>179</v>
      </c>
      <c r="B180" t="s">
        <v>232</v>
      </c>
      <c r="C180" t="s">
        <v>233</v>
      </c>
      <c r="D180" t="s">
        <v>229</v>
      </c>
      <c r="E180" t="s">
        <v>236</v>
      </c>
      <c r="F180" t="s">
        <v>239</v>
      </c>
      <c r="G180" t="s">
        <v>231</v>
      </c>
      <c r="H180" t="s">
        <v>234</v>
      </c>
      <c r="I180" t="s">
        <v>230</v>
      </c>
      <c r="J180" t="str">
        <f t="shared" si="2"/>
        <v>100101111101</v>
      </c>
    </row>
    <row r="181" spans="1:10">
      <c r="A181">
        <v>180</v>
      </c>
      <c r="B181" t="s">
        <v>232</v>
      </c>
      <c r="C181" t="s">
        <v>233</v>
      </c>
      <c r="D181" t="s">
        <v>229</v>
      </c>
      <c r="E181" t="s">
        <v>236</v>
      </c>
      <c r="F181" t="s">
        <v>239</v>
      </c>
      <c r="G181" t="s">
        <v>231</v>
      </c>
      <c r="H181" t="s">
        <v>230</v>
      </c>
      <c r="I181" t="s">
        <v>235</v>
      </c>
      <c r="J181" t="str">
        <f t="shared" si="2"/>
        <v>100101111110</v>
      </c>
    </row>
    <row r="182" spans="1:10">
      <c r="A182">
        <v>181</v>
      </c>
      <c r="B182" t="s">
        <v>228</v>
      </c>
      <c r="C182" t="s">
        <v>229</v>
      </c>
      <c r="D182" t="s">
        <v>230</v>
      </c>
      <c r="E182" t="s">
        <v>236</v>
      </c>
      <c r="F182" t="s">
        <v>239</v>
      </c>
      <c r="G182" t="s">
        <v>232</v>
      </c>
      <c r="H182" t="s">
        <v>234</v>
      </c>
      <c r="I182" t="s">
        <v>235</v>
      </c>
      <c r="J182" t="str">
        <f t="shared" si="2"/>
        <v>100110011111</v>
      </c>
    </row>
    <row r="183" spans="1:10">
      <c r="A183">
        <v>182</v>
      </c>
      <c r="B183" t="s">
        <v>228</v>
      </c>
      <c r="C183" t="s">
        <v>229</v>
      </c>
      <c r="D183" t="s">
        <v>230</v>
      </c>
      <c r="E183" t="s">
        <v>236</v>
      </c>
      <c r="F183" t="s">
        <v>239</v>
      </c>
      <c r="G183" t="s">
        <v>233</v>
      </c>
      <c r="H183" t="s">
        <v>234</v>
      </c>
      <c r="I183" t="s">
        <v>235</v>
      </c>
      <c r="J183" t="str">
        <f t="shared" si="2"/>
        <v>100110101111</v>
      </c>
    </row>
    <row r="184" spans="1:10">
      <c r="A184">
        <v>183</v>
      </c>
      <c r="B184" t="s">
        <v>228</v>
      </c>
      <c r="C184" t="s">
        <v>233</v>
      </c>
      <c r="D184" t="s">
        <v>229</v>
      </c>
      <c r="E184" t="s">
        <v>236</v>
      </c>
      <c r="F184" t="s">
        <v>239</v>
      </c>
      <c r="G184" t="s">
        <v>232</v>
      </c>
      <c r="H184" t="s">
        <v>234</v>
      </c>
      <c r="I184" t="s">
        <v>235</v>
      </c>
      <c r="J184" t="str">
        <f t="shared" si="2"/>
        <v>100110110111</v>
      </c>
    </row>
    <row r="185" spans="1:10">
      <c r="A185">
        <v>184</v>
      </c>
      <c r="B185" t="s">
        <v>228</v>
      </c>
      <c r="C185" t="s">
        <v>233</v>
      </c>
      <c r="D185" t="s">
        <v>230</v>
      </c>
      <c r="E185" t="s">
        <v>236</v>
      </c>
      <c r="F185" t="s">
        <v>239</v>
      </c>
      <c r="G185" t="s">
        <v>232</v>
      </c>
      <c r="H185" t="s">
        <v>234</v>
      </c>
      <c r="I185" t="s">
        <v>235</v>
      </c>
      <c r="J185" t="str">
        <f t="shared" si="2"/>
        <v>100110111011</v>
      </c>
    </row>
    <row r="186" spans="1:10">
      <c r="A186">
        <v>185</v>
      </c>
      <c r="B186" t="s">
        <v>228</v>
      </c>
      <c r="C186" t="s">
        <v>233</v>
      </c>
      <c r="D186" t="s">
        <v>229</v>
      </c>
      <c r="E186" t="s">
        <v>236</v>
      </c>
      <c r="F186" t="s">
        <v>239</v>
      </c>
      <c r="G186" t="s">
        <v>232</v>
      </c>
      <c r="H186" t="s">
        <v>234</v>
      </c>
      <c r="I186" t="s">
        <v>230</v>
      </c>
      <c r="J186" t="str">
        <f t="shared" si="2"/>
        <v>100110111101</v>
      </c>
    </row>
    <row r="187" spans="1:10">
      <c r="A187">
        <v>186</v>
      </c>
      <c r="B187" t="s">
        <v>228</v>
      </c>
      <c r="C187" t="s">
        <v>233</v>
      </c>
      <c r="D187" t="s">
        <v>229</v>
      </c>
      <c r="E187" t="s">
        <v>236</v>
      </c>
      <c r="F187" t="s">
        <v>239</v>
      </c>
      <c r="G187" t="s">
        <v>232</v>
      </c>
      <c r="H187" t="s">
        <v>230</v>
      </c>
      <c r="I187" t="s">
        <v>235</v>
      </c>
      <c r="J187" t="str">
        <f t="shared" si="2"/>
        <v>100110111110</v>
      </c>
    </row>
    <row r="188" spans="1:10">
      <c r="A188">
        <v>187</v>
      </c>
      <c r="B188" t="s">
        <v>228</v>
      </c>
      <c r="C188" t="s">
        <v>229</v>
      </c>
      <c r="D188" t="s">
        <v>230</v>
      </c>
      <c r="E188" t="s">
        <v>236</v>
      </c>
      <c r="F188" t="s">
        <v>239</v>
      </c>
      <c r="G188" t="s">
        <v>231</v>
      </c>
      <c r="H188" t="s">
        <v>234</v>
      </c>
      <c r="I188" t="s">
        <v>235</v>
      </c>
      <c r="J188" t="str">
        <f t="shared" si="2"/>
        <v>100111001111</v>
      </c>
    </row>
    <row r="189" spans="1:10">
      <c r="A189">
        <v>188</v>
      </c>
      <c r="B189" t="s">
        <v>232</v>
      </c>
      <c r="C189" t="s">
        <v>229</v>
      </c>
      <c r="D189" t="s">
        <v>228</v>
      </c>
      <c r="E189" t="s">
        <v>236</v>
      </c>
      <c r="F189" t="s">
        <v>239</v>
      </c>
      <c r="G189" t="s">
        <v>231</v>
      </c>
      <c r="H189" t="s">
        <v>234</v>
      </c>
      <c r="I189" t="s">
        <v>235</v>
      </c>
      <c r="J189" t="str">
        <f t="shared" si="2"/>
        <v>100111010111</v>
      </c>
    </row>
    <row r="190" spans="1:10">
      <c r="A190">
        <v>189</v>
      </c>
      <c r="B190" t="s">
        <v>232</v>
      </c>
      <c r="C190" t="s">
        <v>228</v>
      </c>
      <c r="D190" t="s">
        <v>230</v>
      </c>
      <c r="E190" t="s">
        <v>236</v>
      </c>
      <c r="F190" t="s">
        <v>239</v>
      </c>
      <c r="G190" t="s">
        <v>231</v>
      </c>
      <c r="H190" t="s">
        <v>234</v>
      </c>
      <c r="I190" t="s">
        <v>235</v>
      </c>
      <c r="J190" t="str">
        <f t="shared" si="2"/>
        <v>100111011011</v>
      </c>
    </row>
    <row r="191" spans="1:10">
      <c r="A191">
        <v>190</v>
      </c>
      <c r="B191" t="s">
        <v>232</v>
      </c>
      <c r="C191" t="s">
        <v>229</v>
      </c>
      <c r="D191" t="s">
        <v>228</v>
      </c>
      <c r="E191" t="s">
        <v>236</v>
      </c>
      <c r="F191" t="s">
        <v>239</v>
      </c>
      <c r="G191" t="s">
        <v>231</v>
      </c>
      <c r="H191" t="s">
        <v>234</v>
      </c>
      <c r="I191" t="s">
        <v>230</v>
      </c>
      <c r="J191" t="str">
        <f t="shared" si="2"/>
        <v>100111011101</v>
      </c>
    </row>
    <row r="192" spans="1:10">
      <c r="A192">
        <v>191</v>
      </c>
      <c r="B192" t="s">
        <v>232</v>
      </c>
      <c r="C192" t="s">
        <v>229</v>
      </c>
      <c r="D192" t="s">
        <v>228</v>
      </c>
      <c r="E192" t="s">
        <v>236</v>
      </c>
      <c r="F192" t="s">
        <v>239</v>
      </c>
      <c r="G192" t="s">
        <v>231</v>
      </c>
      <c r="H192" t="s">
        <v>230</v>
      </c>
      <c r="I192" t="s">
        <v>235</v>
      </c>
      <c r="J192" t="str">
        <f t="shared" si="2"/>
        <v>100111011110</v>
      </c>
    </row>
    <row r="193" spans="1:10">
      <c r="A193">
        <v>192</v>
      </c>
      <c r="B193" t="s">
        <v>228</v>
      </c>
      <c r="C193" t="s">
        <v>233</v>
      </c>
      <c r="D193" t="s">
        <v>229</v>
      </c>
      <c r="E193" t="s">
        <v>236</v>
      </c>
      <c r="F193" t="s">
        <v>239</v>
      </c>
      <c r="G193" t="s">
        <v>231</v>
      </c>
      <c r="H193" t="s">
        <v>234</v>
      </c>
      <c r="I193" t="s">
        <v>235</v>
      </c>
      <c r="J193" t="str">
        <f t="shared" si="2"/>
        <v>100111100111</v>
      </c>
    </row>
    <row r="194" spans="1:10">
      <c r="A194">
        <v>193</v>
      </c>
      <c r="B194" t="s">
        <v>228</v>
      </c>
      <c r="C194" t="s">
        <v>233</v>
      </c>
      <c r="D194" t="s">
        <v>230</v>
      </c>
      <c r="E194" t="s">
        <v>236</v>
      </c>
      <c r="F194" t="s">
        <v>239</v>
      </c>
      <c r="G194" t="s">
        <v>231</v>
      </c>
      <c r="H194" t="s">
        <v>234</v>
      </c>
      <c r="I194" t="s">
        <v>235</v>
      </c>
      <c r="J194" t="str">
        <f t="shared" ref="J194:J257" si="3">COUNTIF($B194:$I194,"*A") &amp; COUNTIF($B194:$I194,"*B") &amp; COUNTIF($B194:$I194,"*C") &amp; COUNTIF($B194:$I194,"*D") &amp; COUNTIF($B194:$I194,"*E") &amp; COUNTIF($B194:$I194,"*F") &amp; COUNTIF($B194:$I194,"*G") &amp; COUNTIF($B194:$I194,"*H") &amp; COUNTIF($B194:$I194,"*I") &amp; COUNTIF($B194:$I194,"*J") &amp; COUNTIF($B194:$I194,"*K") &amp; COUNTIF($B194:$I194,"*L")</f>
        <v>100111101011</v>
      </c>
    </row>
    <row r="195" spans="1:10">
      <c r="A195">
        <v>194</v>
      </c>
      <c r="B195" t="s">
        <v>228</v>
      </c>
      <c r="C195" t="s">
        <v>233</v>
      </c>
      <c r="D195" t="s">
        <v>229</v>
      </c>
      <c r="E195" t="s">
        <v>236</v>
      </c>
      <c r="F195" t="s">
        <v>239</v>
      </c>
      <c r="G195" t="s">
        <v>231</v>
      </c>
      <c r="H195" t="s">
        <v>234</v>
      </c>
      <c r="I195" t="s">
        <v>230</v>
      </c>
      <c r="J195" t="str">
        <f t="shared" si="3"/>
        <v>100111101101</v>
      </c>
    </row>
    <row r="196" spans="1:10">
      <c r="A196">
        <v>195</v>
      </c>
      <c r="B196" t="s">
        <v>228</v>
      </c>
      <c r="C196" t="s">
        <v>233</v>
      </c>
      <c r="D196" t="s">
        <v>229</v>
      </c>
      <c r="E196" t="s">
        <v>236</v>
      </c>
      <c r="F196" t="s">
        <v>239</v>
      </c>
      <c r="G196" t="s">
        <v>231</v>
      </c>
      <c r="H196" t="s">
        <v>230</v>
      </c>
      <c r="I196" t="s">
        <v>235</v>
      </c>
      <c r="J196" t="str">
        <f t="shared" si="3"/>
        <v>100111101110</v>
      </c>
    </row>
    <row r="197" spans="1:10">
      <c r="A197">
        <v>196</v>
      </c>
      <c r="B197" t="s">
        <v>232</v>
      </c>
      <c r="C197" t="s">
        <v>233</v>
      </c>
      <c r="D197" t="s">
        <v>228</v>
      </c>
      <c r="E197" t="s">
        <v>236</v>
      </c>
      <c r="F197" t="s">
        <v>239</v>
      </c>
      <c r="G197" t="s">
        <v>231</v>
      </c>
      <c r="H197" t="s">
        <v>234</v>
      </c>
      <c r="I197" t="s">
        <v>235</v>
      </c>
      <c r="J197" t="str">
        <f t="shared" si="3"/>
        <v>100111110011</v>
      </c>
    </row>
    <row r="198" spans="1:10">
      <c r="A198">
        <v>197</v>
      </c>
      <c r="B198" t="s">
        <v>232</v>
      </c>
      <c r="C198" t="s">
        <v>233</v>
      </c>
      <c r="D198" t="s">
        <v>229</v>
      </c>
      <c r="E198" t="s">
        <v>236</v>
      </c>
      <c r="F198" t="s">
        <v>239</v>
      </c>
      <c r="G198" t="s">
        <v>231</v>
      </c>
      <c r="H198" t="s">
        <v>234</v>
      </c>
      <c r="I198" t="s">
        <v>228</v>
      </c>
      <c r="J198" t="str">
        <f t="shared" si="3"/>
        <v>100111110101</v>
      </c>
    </row>
    <row r="199" spans="1:10">
      <c r="A199">
        <v>198</v>
      </c>
      <c r="B199" t="s">
        <v>232</v>
      </c>
      <c r="C199" t="s">
        <v>233</v>
      </c>
      <c r="D199" t="s">
        <v>229</v>
      </c>
      <c r="E199" t="s">
        <v>236</v>
      </c>
      <c r="F199" t="s">
        <v>239</v>
      </c>
      <c r="G199" t="s">
        <v>231</v>
      </c>
      <c r="H199" t="s">
        <v>228</v>
      </c>
      <c r="I199" t="s">
        <v>235</v>
      </c>
      <c r="J199" t="str">
        <f t="shared" si="3"/>
        <v>100111110110</v>
      </c>
    </row>
    <row r="200" spans="1:10">
      <c r="A200">
        <v>199</v>
      </c>
      <c r="B200" t="s">
        <v>232</v>
      </c>
      <c r="C200" t="s">
        <v>233</v>
      </c>
      <c r="D200" t="s">
        <v>228</v>
      </c>
      <c r="E200" t="s">
        <v>236</v>
      </c>
      <c r="F200" t="s">
        <v>239</v>
      </c>
      <c r="G200" t="s">
        <v>231</v>
      </c>
      <c r="H200" t="s">
        <v>234</v>
      </c>
      <c r="I200" t="s">
        <v>230</v>
      </c>
      <c r="J200" t="str">
        <f t="shared" si="3"/>
        <v>100111111001</v>
      </c>
    </row>
    <row r="201" spans="1:10">
      <c r="A201">
        <v>200</v>
      </c>
      <c r="B201" t="s">
        <v>232</v>
      </c>
      <c r="C201" t="s">
        <v>233</v>
      </c>
      <c r="D201" t="s">
        <v>228</v>
      </c>
      <c r="E201" t="s">
        <v>236</v>
      </c>
      <c r="F201" t="s">
        <v>239</v>
      </c>
      <c r="G201" t="s">
        <v>231</v>
      </c>
      <c r="H201" t="s">
        <v>230</v>
      </c>
      <c r="I201" t="s">
        <v>235</v>
      </c>
      <c r="J201" t="str">
        <f t="shared" si="3"/>
        <v>100111111010</v>
      </c>
    </row>
    <row r="202" spans="1:10">
      <c r="A202">
        <v>201</v>
      </c>
      <c r="B202" t="s">
        <v>232</v>
      </c>
      <c r="C202" t="s">
        <v>233</v>
      </c>
      <c r="D202" t="s">
        <v>229</v>
      </c>
      <c r="E202" t="s">
        <v>236</v>
      </c>
      <c r="F202" t="s">
        <v>239</v>
      </c>
      <c r="G202" t="s">
        <v>231</v>
      </c>
      <c r="H202" t="s">
        <v>228</v>
      </c>
      <c r="I202" t="s">
        <v>230</v>
      </c>
      <c r="J202" t="str">
        <f t="shared" si="3"/>
        <v>100111111100</v>
      </c>
    </row>
    <row r="203" spans="1:10">
      <c r="A203">
        <v>202</v>
      </c>
      <c r="B203" t="s">
        <v>232</v>
      </c>
      <c r="C203" t="s">
        <v>229</v>
      </c>
      <c r="D203" t="s">
        <v>230</v>
      </c>
      <c r="E203" t="s">
        <v>237</v>
      </c>
      <c r="F203" t="s">
        <v>239</v>
      </c>
      <c r="G203" t="s">
        <v>233</v>
      </c>
      <c r="H203" t="s">
        <v>234</v>
      </c>
      <c r="I203" t="s">
        <v>235</v>
      </c>
      <c r="J203" t="str">
        <f t="shared" si="3"/>
        <v>101000111111</v>
      </c>
    </row>
    <row r="204" spans="1:10">
      <c r="A204">
        <v>203</v>
      </c>
      <c r="B204" t="s">
        <v>232</v>
      </c>
      <c r="C204" t="s">
        <v>229</v>
      </c>
      <c r="D204" t="s">
        <v>230</v>
      </c>
      <c r="E204" t="s">
        <v>237</v>
      </c>
      <c r="F204" t="s">
        <v>239</v>
      </c>
      <c r="G204" t="s">
        <v>231</v>
      </c>
      <c r="H204" t="s">
        <v>234</v>
      </c>
      <c r="I204" t="s">
        <v>235</v>
      </c>
      <c r="J204" t="str">
        <f t="shared" si="3"/>
        <v>101001011111</v>
      </c>
    </row>
    <row r="205" spans="1:10">
      <c r="A205">
        <v>204</v>
      </c>
      <c r="B205" t="s">
        <v>230</v>
      </c>
      <c r="C205" t="s">
        <v>233</v>
      </c>
      <c r="D205" t="s">
        <v>229</v>
      </c>
      <c r="E205" t="s">
        <v>237</v>
      </c>
      <c r="F205" t="s">
        <v>239</v>
      </c>
      <c r="G205" t="s">
        <v>231</v>
      </c>
      <c r="H205" t="s">
        <v>234</v>
      </c>
      <c r="I205" t="s">
        <v>235</v>
      </c>
      <c r="J205" t="str">
        <f t="shared" si="3"/>
        <v>101001101111</v>
      </c>
    </row>
    <row r="206" spans="1:10">
      <c r="A206">
        <v>205</v>
      </c>
      <c r="B206" t="s">
        <v>232</v>
      </c>
      <c r="C206" t="s">
        <v>233</v>
      </c>
      <c r="D206" t="s">
        <v>229</v>
      </c>
      <c r="E206" t="s">
        <v>237</v>
      </c>
      <c r="F206" t="s">
        <v>239</v>
      </c>
      <c r="G206" t="s">
        <v>231</v>
      </c>
      <c r="H206" t="s">
        <v>234</v>
      </c>
      <c r="I206" t="s">
        <v>235</v>
      </c>
      <c r="J206" t="str">
        <f t="shared" si="3"/>
        <v>101001110111</v>
      </c>
    </row>
    <row r="207" spans="1:10">
      <c r="A207">
        <v>206</v>
      </c>
      <c r="B207" t="s">
        <v>232</v>
      </c>
      <c r="C207" t="s">
        <v>233</v>
      </c>
      <c r="D207" t="s">
        <v>230</v>
      </c>
      <c r="E207" t="s">
        <v>237</v>
      </c>
      <c r="F207" t="s">
        <v>239</v>
      </c>
      <c r="G207" t="s">
        <v>231</v>
      </c>
      <c r="H207" t="s">
        <v>234</v>
      </c>
      <c r="I207" t="s">
        <v>235</v>
      </c>
      <c r="J207" t="str">
        <f t="shared" si="3"/>
        <v>101001111011</v>
      </c>
    </row>
    <row r="208" spans="1:10">
      <c r="A208">
        <v>207</v>
      </c>
      <c r="B208" t="s">
        <v>232</v>
      </c>
      <c r="C208" t="s">
        <v>233</v>
      </c>
      <c r="D208" t="s">
        <v>229</v>
      </c>
      <c r="E208" t="s">
        <v>237</v>
      </c>
      <c r="F208" t="s">
        <v>239</v>
      </c>
      <c r="G208" t="s">
        <v>231</v>
      </c>
      <c r="H208" t="s">
        <v>234</v>
      </c>
      <c r="I208" t="s">
        <v>230</v>
      </c>
      <c r="J208" t="str">
        <f t="shared" si="3"/>
        <v>101001111101</v>
      </c>
    </row>
    <row r="209" spans="1:10">
      <c r="A209">
        <v>208</v>
      </c>
      <c r="B209" t="s">
        <v>232</v>
      </c>
      <c r="C209" t="s">
        <v>233</v>
      </c>
      <c r="D209" t="s">
        <v>229</v>
      </c>
      <c r="E209" t="s">
        <v>237</v>
      </c>
      <c r="F209" t="s">
        <v>239</v>
      </c>
      <c r="G209" t="s">
        <v>231</v>
      </c>
      <c r="H209" t="s">
        <v>230</v>
      </c>
      <c r="I209" t="s">
        <v>235</v>
      </c>
      <c r="J209" t="str">
        <f t="shared" si="3"/>
        <v>101001111110</v>
      </c>
    </row>
    <row r="210" spans="1:10">
      <c r="A210">
        <v>209</v>
      </c>
      <c r="B210" t="s">
        <v>228</v>
      </c>
      <c r="C210" t="s">
        <v>229</v>
      </c>
      <c r="D210" t="s">
        <v>230</v>
      </c>
      <c r="E210" t="s">
        <v>237</v>
      </c>
      <c r="F210" t="s">
        <v>239</v>
      </c>
      <c r="G210" t="s">
        <v>232</v>
      </c>
      <c r="H210" t="s">
        <v>234</v>
      </c>
      <c r="I210" t="s">
        <v>235</v>
      </c>
      <c r="J210" t="str">
        <f t="shared" si="3"/>
        <v>101010011111</v>
      </c>
    </row>
    <row r="211" spans="1:10">
      <c r="A211">
        <v>210</v>
      </c>
      <c r="B211" t="s">
        <v>228</v>
      </c>
      <c r="C211" t="s">
        <v>229</v>
      </c>
      <c r="D211" t="s">
        <v>230</v>
      </c>
      <c r="E211" t="s">
        <v>237</v>
      </c>
      <c r="F211" t="s">
        <v>239</v>
      </c>
      <c r="G211" t="s">
        <v>233</v>
      </c>
      <c r="H211" t="s">
        <v>234</v>
      </c>
      <c r="I211" t="s">
        <v>235</v>
      </c>
      <c r="J211" t="str">
        <f t="shared" si="3"/>
        <v>101010101111</v>
      </c>
    </row>
    <row r="212" spans="1:10">
      <c r="A212">
        <v>211</v>
      </c>
      <c r="B212" t="s">
        <v>228</v>
      </c>
      <c r="C212" t="s">
        <v>233</v>
      </c>
      <c r="D212" t="s">
        <v>229</v>
      </c>
      <c r="E212" t="s">
        <v>237</v>
      </c>
      <c r="F212" t="s">
        <v>239</v>
      </c>
      <c r="G212" t="s">
        <v>232</v>
      </c>
      <c r="H212" t="s">
        <v>234</v>
      </c>
      <c r="I212" t="s">
        <v>235</v>
      </c>
      <c r="J212" t="str">
        <f t="shared" si="3"/>
        <v>101010110111</v>
      </c>
    </row>
    <row r="213" spans="1:10">
      <c r="A213">
        <v>212</v>
      </c>
      <c r="B213" t="s">
        <v>228</v>
      </c>
      <c r="C213" t="s">
        <v>233</v>
      </c>
      <c r="D213" t="s">
        <v>230</v>
      </c>
      <c r="E213" t="s">
        <v>237</v>
      </c>
      <c r="F213" t="s">
        <v>239</v>
      </c>
      <c r="G213" t="s">
        <v>232</v>
      </c>
      <c r="H213" t="s">
        <v>234</v>
      </c>
      <c r="I213" t="s">
        <v>235</v>
      </c>
      <c r="J213" t="str">
        <f t="shared" si="3"/>
        <v>101010111011</v>
      </c>
    </row>
    <row r="214" spans="1:10">
      <c r="A214">
        <v>213</v>
      </c>
      <c r="B214" t="s">
        <v>228</v>
      </c>
      <c r="C214" t="s">
        <v>233</v>
      </c>
      <c r="D214" t="s">
        <v>229</v>
      </c>
      <c r="E214" t="s">
        <v>237</v>
      </c>
      <c r="F214" t="s">
        <v>239</v>
      </c>
      <c r="G214" t="s">
        <v>232</v>
      </c>
      <c r="H214" t="s">
        <v>234</v>
      </c>
      <c r="I214" t="s">
        <v>230</v>
      </c>
      <c r="J214" t="str">
        <f t="shared" si="3"/>
        <v>101010111101</v>
      </c>
    </row>
    <row r="215" spans="1:10">
      <c r="A215">
        <v>214</v>
      </c>
      <c r="B215" t="s">
        <v>228</v>
      </c>
      <c r="C215" t="s">
        <v>233</v>
      </c>
      <c r="D215" t="s">
        <v>229</v>
      </c>
      <c r="E215" t="s">
        <v>237</v>
      </c>
      <c r="F215" t="s">
        <v>239</v>
      </c>
      <c r="G215" t="s">
        <v>232</v>
      </c>
      <c r="H215" t="s">
        <v>230</v>
      </c>
      <c r="I215" t="s">
        <v>235</v>
      </c>
      <c r="J215" t="str">
        <f t="shared" si="3"/>
        <v>101010111110</v>
      </c>
    </row>
    <row r="216" spans="1:10">
      <c r="A216">
        <v>215</v>
      </c>
      <c r="B216" t="s">
        <v>228</v>
      </c>
      <c r="C216" t="s">
        <v>229</v>
      </c>
      <c r="D216" t="s">
        <v>230</v>
      </c>
      <c r="E216" t="s">
        <v>237</v>
      </c>
      <c r="F216" t="s">
        <v>239</v>
      </c>
      <c r="G216" t="s">
        <v>231</v>
      </c>
      <c r="H216" t="s">
        <v>234</v>
      </c>
      <c r="I216" t="s">
        <v>235</v>
      </c>
      <c r="J216" t="str">
        <f t="shared" si="3"/>
        <v>101011001111</v>
      </c>
    </row>
    <row r="217" spans="1:10">
      <c r="A217">
        <v>216</v>
      </c>
      <c r="B217" t="s">
        <v>232</v>
      </c>
      <c r="C217" t="s">
        <v>229</v>
      </c>
      <c r="D217" t="s">
        <v>228</v>
      </c>
      <c r="E217" t="s">
        <v>237</v>
      </c>
      <c r="F217" t="s">
        <v>239</v>
      </c>
      <c r="G217" t="s">
        <v>231</v>
      </c>
      <c r="H217" t="s">
        <v>234</v>
      </c>
      <c r="I217" t="s">
        <v>235</v>
      </c>
      <c r="J217" t="str">
        <f t="shared" si="3"/>
        <v>101011010111</v>
      </c>
    </row>
    <row r="218" spans="1:10">
      <c r="A218">
        <v>217</v>
      </c>
      <c r="B218" t="s">
        <v>232</v>
      </c>
      <c r="C218" t="s">
        <v>228</v>
      </c>
      <c r="D218" t="s">
        <v>230</v>
      </c>
      <c r="E218" t="s">
        <v>237</v>
      </c>
      <c r="F218" t="s">
        <v>239</v>
      </c>
      <c r="G218" t="s">
        <v>231</v>
      </c>
      <c r="H218" t="s">
        <v>234</v>
      </c>
      <c r="I218" t="s">
        <v>235</v>
      </c>
      <c r="J218" t="str">
        <f t="shared" si="3"/>
        <v>101011011011</v>
      </c>
    </row>
    <row r="219" spans="1:10">
      <c r="A219">
        <v>218</v>
      </c>
      <c r="B219" t="s">
        <v>232</v>
      </c>
      <c r="C219" t="s">
        <v>229</v>
      </c>
      <c r="D219" t="s">
        <v>228</v>
      </c>
      <c r="E219" t="s">
        <v>237</v>
      </c>
      <c r="F219" t="s">
        <v>239</v>
      </c>
      <c r="G219" t="s">
        <v>231</v>
      </c>
      <c r="H219" t="s">
        <v>234</v>
      </c>
      <c r="I219" t="s">
        <v>230</v>
      </c>
      <c r="J219" t="str">
        <f t="shared" si="3"/>
        <v>101011011101</v>
      </c>
    </row>
    <row r="220" spans="1:10">
      <c r="A220">
        <v>219</v>
      </c>
      <c r="B220" t="s">
        <v>232</v>
      </c>
      <c r="C220" t="s">
        <v>229</v>
      </c>
      <c r="D220" t="s">
        <v>228</v>
      </c>
      <c r="E220" t="s">
        <v>237</v>
      </c>
      <c r="F220" t="s">
        <v>239</v>
      </c>
      <c r="G220" t="s">
        <v>231</v>
      </c>
      <c r="H220" t="s">
        <v>230</v>
      </c>
      <c r="I220" t="s">
        <v>235</v>
      </c>
      <c r="J220" t="str">
        <f t="shared" si="3"/>
        <v>101011011110</v>
      </c>
    </row>
    <row r="221" spans="1:10">
      <c r="A221">
        <v>220</v>
      </c>
      <c r="B221" t="s">
        <v>228</v>
      </c>
      <c r="C221" t="s">
        <v>233</v>
      </c>
      <c r="D221" t="s">
        <v>229</v>
      </c>
      <c r="E221" t="s">
        <v>237</v>
      </c>
      <c r="F221" t="s">
        <v>239</v>
      </c>
      <c r="G221" t="s">
        <v>231</v>
      </c>
      <c r="H221" t="s">
        <v>234</v>
      </c>
      <c r="I221" t="s">
        <v>235</v>
      </c>
      <c r="J221" t="str">
        <f t="shared" si="3"/>
        <v>101011100111</v>
      </c>
    </row>
    <row r="222" spans="1:10">
      <c r="A222">
        <v>221</v>
      </c>
      <c r="B222" t="s">
        <v>228</v>
      </c>
      <c r="C222" t="s">
        <v>233</v>
      </c>
      <c r="D222" t="s">
        <v>230</v>
      </c>
      <c r="E222" t="s">
        <v>237</v>
      </c>
      <c r="F222" t="s">
        <v>239</v>
      </c>
      <c r="G222" t="s">
        <v>231</v>
      </c>
      <c r="H222" t="s">
        <v>234</v>
      </c>
      <c r="I222" t="s">
        <v>235</v>
      </c>
      <c r="J222" t="str">
        <f t="shared" si="3"/>
        <v>101011101011</v>
      </c>
    </row>
    <row r="223" spans="1:10">
      <c r="A223">
        <v>222</v>
      </c>
      <c r="B223" t="s">
        <v>228</v>
      </c>
      <c r="C223" t="s">
        <v>233</v>
      </c>
      <c r="D223" t="s">
        <v>229</v>
      </c>
      <c r="E223" t="s">
        <v>237</v>
      </c>
      <c r="F223" t="s">
        <v>239</v>
      </c>
      <c r="G223" t="s">
        <v>231</v>
      </c>
      <c r="H223" t="s">
        <v>234</v>
      </c>
      <c r="I223" t="s">
        <v>230</v>
      </c>
      <c r="J223" t="str">
        <f t="shared" si="3"/>
        <v>101011101101</v>
      </c>
    </row>
    <row r="224" spans="1:10">
      <c r="A224">
        <v>223</v>
      </c>
      <c r="B224" t="s">
        <v>228</v>
      </c>
      <c r="C224" t="s">
        <v>233</v>
      </c>
      <c r="D224" t="s">
        <v>229</v>
      </c>
      <c r="E224" t="s">
        <v>237</v>
      </c>
      <c r="F224" t="s">
        <v>239</v>
      </c>
      <c r="G224" t="s">
        <v>231</v>
      </c>
      <c r="H224" t="s">
        <v>230</v>
      </c>
      <c r="I224" t="s">
        <v>235</v>
      </c>
      <c r="J224" t="str">
        <f t="shared" si="3"/>
        <v>101011101110</v>
      </c>
    </row>
    <row r="225" spans="1:10">
      <c r="A225">
        <v>224</v>
      </c>
      <c r="B225" t="s">
        <v>232</v>
      </c>
      <c r="C225" t="s">
        <v>233</v>
      </c>
      <c r="D225" t="s">
        <v>228</v>
      </c>
      <c r="E225" t="s">
        <v>237</v>
      </c>
      <c r="F225" t="s">
        <v>239</v>
      </c>
      <c r="G225" t="s">
        <v>231</v>
      </c>
      <c r="H225" t="s">
        <v>234</v>
      </c>
      <c r="I225" t="s">
        <v>235</v>
      </c>
      <c r="J225" t="str">
        <f t="shared" si="3"/>
        <v>101011110011</v>
      </c>
    </row>
    <row r="226" spans="1:10">
      <c r="A226">
        <v>225</v>
      </c>
      <c r="B226" t="s">
        <v>232</v>
      </c>
      <c r="C226" t="s">
        <v>233</v>
      </c>
      <c r="D226" t="s">
        <v>229</v>
      </c>
      <c r="E226" t="s">
        <v>237</v>
      </c>
      <c r="F226" t="s">
        <v>239</v>
      </c>
      <c r="G226" t="s">
        <v>231</v>
      </c>
      <c r="H226" t="s">
        <v>234</v>
      </c>
      <c r="I226" t="s">
        <v>228</v>
      </c>
      <c r="J226" t="str">
        <f t="shared" si="3"/>
        <v>101011110101</v>
      </c>
    </row>
    <row r="227" spans="1:10">
      <c r="A227">
        <v>226</v>
      </c>
      <c r="B227" t="s">
        <v>232</v>
      </c>
      <c r="C227" t="s">
        <v>233</v>
      </c>
      <c r="D227" t="s">
        <v>229</v>
      </c>
      <c r="E227" t="s">
        <v>237</v>
      </c>
      <c r="F227" t="s">
        <v>239</v>
      </c>
      <c r="G227" t="s">
        <v>231</v>
      </c>
      <c r="H227" t="s">
        <v>228</v>
      </c>
      <c r="I227" t="s">
        <v>235</v>
      </c>
      <c r="J227" t="str">
        <f t="shared" si="3"/>
        <v>101011110110</v>
      </c>
    </row>
    <row r="228" spans="1:10">
      <c r="A228">
        <v>227</v>
      </c>
      <c r="B228" t="s">
        <v>232</v>
      </c>
      <c r="C228" t="s">
        <v>233</v>
      </c>
      <c r="D228" t="s">
        <v>228</v>
      </c>
      <c r="E228" t="s">
        <v>237</v>
      </c>
      <c r="F228" t="s">
        <v>239</v>
      </c>
      <c r="G228" t="s">
        <v>231</v>
      </c>
      <c r="H228" t="s">
        <v>234</v>
      </c>
      <c r="I228" t="s">
        <v>230</v>
      </c>
      <c r="J228" t="str">
        <f t="shared" si="3"/>
        <v>101011111001</v>
      </c>
    </row>
    <row r="229" spans="1:10">
      <c r="A229">
        <v>228</v>
      </c>
      <c r="B229" t="s">
        <v>232</v>
      </c>
      <c r="C229" t="s">
        <v>233</v>
      </c>
      <c r="D229" t="s">
        <v>228</v>
      </c>
      <c r="E229" t="s">
        <v>237</v>
      </c>
      <c r="F229" t="s">
        <v>239</v>
      </c>
      <c r="G229" t="s">
        <v>231</v>
      </c>
      <c r="H229" t="s">
        <v>230</v>
      </c>
      <c r="I229" t="s">
        <v>235</v>
      </c>
      <c r="J229" t="str">
        <f t="shared" si="3"/>
        <v>101011111010</v>
      </c>
    </row>
    <row r="230" spans="1:10">
      <c r="A230">
        <v>229</v>
      </c>
      <c r="B230" t="s">
        <v>232</v>
      </c>
      <c r="C230" t="s">
        <v>233</v>
      </c>
      <c r="D230" t="s">
        <v>229</v>
      </c>
      <c r="E230" t="s">
        <v>237</v>
      </c>
      <c r="F230" t="s">
        <v>239</v>
      </c>
      <c r="G230" t="s">
        <v>231</v>
      </c>
      <c r="H230" t="s">
        <v>228</v>
      </c>
      <c r="I230" t="s">
        <v>230</v>
      </c>
      <c r="J230" t="str">
        <f t="shared" si="3"/>
        <v>101011111100</v>
      </c>
    </row>
    <row r="231" spans="1:10">
      <c r="A231">
        <v>230</v>
      </c>
      <c r="B231" t="s">
        <v>232</v>
      </c>
      <c r="C231" t="s">
        <v>229</v>
      </c>
      <c r="D231" t="s">
        <v>230</v>
      </c>
      <c r="E231" t="s">
        <v>237</v>
      </c>
      <c r="F231" t="s">
        <v>239</v>
      </c>
      <c r="G231" t="s">
        <v>236</v>
      </c>
      <c r="H231" t="s">
        <v>234</v>
      </c>
      <c r="I231" t="s">
        <v>235</v>
      </c>
      <c r="J231" t="str">
        <f t="shared" si="3"/>
        <v>101100011111</v>
      </c>
    </row>
    <row r="232" spans="1:10">
      <c r="A232">
        <v>231</v>
      </c>
      <c r="B232" t="s">
        <v>230</v>
      </c>
      <c r="C232" t="s">
        <v>233</v>
      </c>
      <c r="D232" t="s">
        <v>229</v>
      </c>
      <c r="E232" t="s">
        <v>237</v>
      </c>
      <c r="F232" t="s">
        <v>239</v>
      </c>
      <c r="G232" t="s">
        <v>236</v>
      </c>
      <c r="H232" t="s">
        <v>234</v>
      </c>
      <c r="I232" t="s">
        <v>235</v>
      </c>
      <c r="J232" t="str">
        <f t="shared" si="3"/>
        <v>101100101111</v>
      </c>
    </row>
    <row r="233" spans="1:10">
      <c r="A233">
        <v>232</v>
      </c>
      <c r="B233" t="s">
        <v>232</v>
      </c>
      <c r="C233" t="s">
        <v>233</v>
      </c>
      <c r="D233" t="s">
        <v>229</v>
      </c>
      <c r="E233" t="s">
        <v>237</v>
      </c>
      <c r="F233" t="s">
        <v>239</v>
      </c>
      <c r="G233" t="s">
        <v>236</v>
      </c>
      <c r="H233" t="s">
        <v>234</v>
      </c>
      <c r="I233" t="s">
        <v>235</v>
      </c>
      <c r="J233" t="str">
        <f t="shared" si="3"/>
        <v>101100110111</v>
      </c>
    </row>
    <row r="234" spans="1:10">
      <c r="A234">
        <v>233</v>
      </c>
      <c r="B234" t="s">
        <v>232</v>
      </c>
      <c r="C234" t="s">
        <v>233</v>
      </c>
      <c r="D234" t="s">
        <v>230</v>
      </c>
      <c r="E234" t="s">
        <v>237</v>
      </c>
      <c r="F234" t="s">
        <v>239</v>
      </c>
      <c r="G234" t="s">
        <v>236</v>
      </c>
      <c r="H234" t="s">
        <v>234</v>
      </c>
      <c r="I234" t="s">
        <v>235</v>
      </c>
      <c r="J234" t="str">
        <f t="shared" si="3"/>
        <v>101100111011</v>
      </c>
    </row>
    <row r="235" spans="1:10">
      <c r="A235">
        <v>234</v>
      </c>
      <c r="B235" t="s">
        <v>232</v>
      </c>
      <c r="C235" t="s">
        <v>233</v>
      </c>
      <c r="D235" t="s">
        <v>229</v>
      </c>
      <c r="E235" t="s">
        <v>237</v>
      </c>
      <c r="F235" t="s">
        <v>239</v>
      </c>
      <c r="G235" t="s">
        <v>236</v>
      </c>
      <c r="H235" t="s">
        <v>234</v>
      </c>
      <c r="I235" t="s">
        <v>230</v>
      </c>
      <c r="J235" t="str">
        <f t="shared" si="3"/>
        <v>101100111101</v>
      </c>
    </row>
    <row r="236" spans="1:10">
      <c r="A236">
        <v>235</v>
      </c>
      <c r="B236" t="s">
        <v>232</v>
      </c>
      <c r="C236" t="s">
        <v>233</v>
      </c>
      <c r="D236" t="s">
        <v>229</v>
      </c>
      <c r="E236" t="s">
        <v>237</v>
      </c>
      <c r="F236" t="s">
        <v>239</v>
      </c>
      <c r="G236" t="s">
        <v>236</v>
      </c>
      <c r="H236" t="s">
        <v>230</v>
      </c>
      <c r="I236" t="s">
        <v>235</v>
      </c>
      <c r="J236" t="str">
        <f t="shared" si="3"/>
        <v>101100111110</v>
      </c>
    </row>
    <row r="237" spans="1:10">
      <c r="A237">
        <v>236</v>
      </c>
      <c r="B237" t="s">
        <v>237</v>
      </c>
      <c r="C237" t="s">
        <v>229</v>
      </c>
      <c r="D237" t="s">
        <v>230</v>
      </c>
      <c r="E237" t="s">
        <v>236</v>
      </c>
      <c r="F237" t="s">
        <v>239</v>
      </c>
      <c r="G237" t="s">
        <v>231</v>
      </c>
      <c r="H237" t="s">
        <v>234</v>
      </c>
      <c r="I237" t="s">
        <v>235</v>
      </c>
      <c r="J237" t="str">
        <f t="shared" si="3"/>
        <v>101101001111</v>
      </c>
    </row>
    <row r="238" spans="1:10">
      <c r="A238">
        <v>237</v>
      </c>
      <c r="B238" t="s">
        <v>232</v>
      </c>
      <c r="C238" t="s">
        <v>229</v>
      </c>
      <c r="D238" t="s">
        <v>231</v>
      </c>
      <c r="E238" t="s">
        <v>237</v>
      </c>
      <c r="F238" t="s">
        <v>239</v>
      </c>
      <c r="G238" t="s">
        <v>236</v>
      </c>
      <c r="H238" t="s">
        <v>234</v>
      </c>
      <c r="I238" t="s">
        <v>235</v>
      </c>
      <c r="J238" t="str">
        <f t="shared" si="3"/>
        <v>101101010111</v>
      </c>
    </row>
    <row r="239" spans="1:10">
      <c r="A239">
        <v>238</v>
      </c>
      <c r="B239" t="s">
        <v>232</v>
      </c>
      <c r="C239" t="s">
        <v>231</v>
      </c>
      <c r="D239" t="s">
        <v>230</v>
      </c>
      <c r="E239" t="s">
        <v>237</v>
      </c>
      <c r="F239" t="s">
        <v>239</v>
      </c>
      <c r="G239" t="s">
        <v>236</v>
      </c>
      <c r="H239" t="s">
        <v>234</v>
      </c>
      <c r="I239" t="s">
        <v>235</v>
      </c>
      <c r="J239" t="str">
        <f t="shared" si="3"/>
        <v>101101011011</v>
      </c>
    </row>
    <row r="240" spans="1:10">
      <c r="A240">
        <v>239</v>
      </c>
      <c r="B240" t="s">
        <v>232</v>
      </c>
      <c r="C240" t="s">
        <v>229</v>
      </c>
      <c r="D240" t="s">
        <v>231</v>
      </c>
      <c r="E240" t="s">
        <v>237</v>
      </c>
      <c r="F240" t="s">
        <v>239</v>
      </c>
      <c r="G240" t="s">
        <v>236</v>
      </c>
      <c r="H240" t="s">
        <v>234</v>
      </c>
      <c r="I240" t="s">
        <v>230</v>
      </c>
      <c r="J240" t="str">
        <f t="shared" si="3"/>
        <v>101101011101</v>
      </c>
    </row>
    <row r="241" spans="1:10">
      <c r="A241">
        <v>240</v>
      </c>
      <c r="B241" t="s">
        <v>232</v>
      </c>
      <c r="C241" t="s">
        <v>229</v>
      </c>
      <c r="D241" t="s">
        <v>231</v>
      </c>
      <c r="E241" t="s">
        <v>237</v>
      </c>
      <c r="F241" t="s">
        <v>239</v>
      </c>
      <c r="G241" t="s">
        <v>236</v>
      </c>
      <c r="H241" t="s">
        <v>230</v>
      </c>
      <c r="I241" t="s">
        <v>235</v>
      </c>
      <c r="J241" t="str">
        <f t="shared" si="3"/>
        <v>101101011110</v>
      </c>
    </row>
    <row r="242" spans="1:10">
      <c r="A242">
        <v>241</v>
      </c>
      <c r="B242" t="s">
        <v>237</v>
      </c>
      <c r="C242" t="s">
        <v>233</v>
      </c>
      <c r="D242" t="s">
        <v>229</v>
      </c>
      <c r="E242" t="s">
        <v>236</v>
      </c>
      <c r="F242" t="s">
        <v>239</v>
      </c>
      <c r="G242" t="s">
        <v>231</v>
      </c>
      <c r="H242" t="s">
        <v>234</v>
      </c>
      <c r="I242" t="s">
        <v>235</v>
      </c>
      <c r="J242" t="str">
        <f t="shared" si="3"/>
        <v>101101100111</v>
      </c>
    </row>
    <row r="243" spans="1:10">
      <c r="A243">
        <v>242</v>
      </c>
      <c r="B243" t="s">
        <v>237</v>
      </c>
      <c r="C243" t="s">
        <v>233</v>
      </c>
      <c r="D243" t="s">
        <v>230</v>
      </c>
      <c r="E243" t="s">
        <v>236</v>
      </c>
      <c r="F243" t="s">
        <v>239</v>
      </c>
      <c r="G243" t="s">
        <v>231</v>
      </c>
      <c r="H243" t="s">
        <v>234</v>
      </c>
      <c r="I243" t="s">
        <v>235</v>
      </c>
      <c r="J243" t="str">
        <f t="shared" si="3"/>
        <v>101101101011</v>
      </c>
    </row>
    <row r="244" spans="1:10">
      <c r="A244">
        <v>243</v>
      </c>
      <c r="B244" t="s">
        <v>237</v>
      </c>
      <c r="C244" t="s">
        <v>233</v>
      </c>
      <c r="D244" t="s">
        <v>229</v>
      </c>
      <c r="E244" t="s">
        <v>236</v>
      </c>
      <c r="F244" t="s">
        <v>239</v>
      </c>
      <c r="G244" t="s">
        <v>231</v>
      </c>
      <c r="H244" t="s">
        <v>234</v>
      </c>
      <c r="I244" t="s">
        <v>230</v>
      </c>
      <c r="J244" t="str">
        <f t="shared" si="3"/>
        <v>101101101101</v>
      </c>
    </row>
    <row r="245" spans="1:10">
      <c r="A245">
        <v>244</v>
      </c>
      <c r="B245" t="s">
        <v>237</v>
      </c>
      <c r="C245" t="s">
        <v>233</v>
      </c>
      <c r="D245" t="s">
        <v>229</v>
      </c>
      <c r="E245" t="s">
        <v>236</v>
      </c>
      <c r="F245" t="s">
        <v>239</v>
      </c>
      <c r="G245" t="s">
        <v>231</v>
      </c>
      <c r="H245" t="s">
        <v>230</v>
      </c>
      <c r="I245" t="s">
        <v>235</v>
      </c>
      <c r="J245" t="str">
        <f t="shared" si="3"/>
        <v>101101101110</v>
      </c>
    </row>
    <row r="246" spans="1:10">
      <c r="A246">
        <v>245</v>
      </c>
      <c r="B246" t="s">
        <v>232</v>
      </c>
      <c r="C246" t="s">
        <v>233</v>
      </c>
      <c r="D246" t="s">
        <v>231</v>
      </c>
      <c r="E246" t="s">
        <v>237</v>
      </c>
      <c r="F246" t="s">
        <v>239</v>
      </c>
      <c r="G246" t="s">
        <v>236</v>
      </c>
      <c r="H246" t="s">
        <v>234</v>
      </c>
      <c r="I246" t="s">
        <v>235</v>
      </c>
      <c r="J246" t="str">
        <f t="shared" si="3"/>
        <v>101101110011</v>
      </c>
    </row>
    <row r="247" spans="1:10">
      <c r="A247">
        <v>246</v>
      </c>
      <c r="B247" t="s">
        <v>237</v>
      </c>
      <c r="C247" t="s">
        <v>233</v>
      </c>
      <c r="D247" t="s">
        <v>229</v>
      </c>
      <c r="E247" t="s">
        <v>236</v>
      </c>
      <c r="F247" t="s">
        <v>239</v>
      </c>
      <c r="G247" t="s">
        <v>231</v>
      </c>
      <c r="H247" t="s">
        <v>234</v>
      </c>
      <c r="I247" t="s">
        <v>232</v>
      </c>
      <c r="J247" t="str">
        <f t="shared" si="3"/>
        <v>101101110101</v>
      </c>
    </row>
    <row r="248" spans="1:10">
      <c r="A248">
        <v>247</v>
      </c>
      <c r="B248" t="s">
        <v>232</v>
      </c>
      <c r="C248" t="s">
        <v>233</v>
      </c>
      <c r="D248" t="s">
        <v>229</v>
      </c>
      <c r="E248" t="s">
        <v>237</v>
      </c>
      <c r="F248" t="s">
        <v>239</v>
      </c>
      <c r="G248" t="s">
        <v>231</v>
      </c>
      <c r="H248" t="s">
        <v>236</v>
      </c>
      <c r="I248" t="s">
        <v>235</v>
      </c>
      <c r="J248" t="str">
        <f t="shared" si="3"/>
        <v>101101110110</v>
      </c>
    </row>
    <row r="249" spans="1:10">
      <c r="A249">
        <v>248</v>
      </c>
      <c r="B249" t="s">
        <v>232</v>
      </c>
      <c r="C249" t="s">
        <v>233</v>
      </c>
      <c r="D249" t="s">
        <v>231</v>
      </c>
      <c r="E249" t="s">
        <v>237</v>
      </c>
      <c r="F249" t="s">
        <v>239</v>
      </c>
      <c r="G249" t="s">
        <v>236</v>
      </c>
      <c r="H249" t="s">
        <v>234</v>
      </c>
      <c r="I249" t="s">
        <v>230</v>
      </c>
      <c r="J249" t="str">
        <f t="shared" si="3"/>
        <v>101101111001</v>
      </c>
    </row>
    <row r="250" spans="1:10">
      <c r="A250">
        <v>249</v>
      </c>
      <c r="B250" t="s">
        <v>232</v>
      </c>
      <c r="C250" t="s">
        <v>233</v>
      </c>
      <c r="D250" t="s">
        <v>231</v>
      </c>
      <c r="E250" t="s">
        <v>237</v>
      </c>
      <c r="F250" t="s">
        <v>239</v>
      </c>
      <c r="G250" t="s">
        <v>236</v>
      </c>
      <c r="H250" t="s">
        <v>230</v>
      </c>
      <c r="I250" t="s">
        <v>235</v>
      </c>
      <c r="J250" t="str">
        <f t="shared" si="3"/>
        <v>101101111010</v>
      </c>
    </row>
    <row r="251" spans="1:10">
      <c r="A251">
        <v>250</v>
      </c>
      <c r="B251" t="s">
        <v>232</v>
      </c>
      <c r="C251" t="s">
        <v>233</v>
      </c>
      <c r="D251" t="s">
        <v>229</v>
      </c>
      <c r="E251" t="s">
        <v>237</v>
      </c>
      <c r="F251" t="s">
        <v>239</v>
      </c>
      <c r="G251" t="s">
        <v>231</v>
      </c>
      <c r="H251" t="s">
        <v>236</v>
      </c>
      <c r="I251" t="s">
        <v>230</v>
      </c>
      <c r="J251" t="str">
        <f t="shared" si="3"/>
        <v>101101111100</v>
      </c>
    </row>
    <row r="252" spans="1:10">
      <c r="A252">
        <v>251</v>
      </c>
      <c r="B252" t="s">
        <v>228</v>
      </c>
      <c r="C252" t="s">
        <v>229</v>
      </c>
      <c r="D252" t="s">
        <v>230</v>
      </c>
      <c r="E252" t="s">
        <v>237</v>
      </c>
      <c r="F252" t="s">
        <v>239</v>
      </c>
      <c r="G252" t="s">
        <v>236</v>
      </c>
      <c r="H252" t="s">
        <v>234</v>
      </c>
      <c r="I252" t="s">
        <v>235</v>
      </c>
      <c r="J252" t="str">
        <f t="shared" si="3"/>
        <v>101110001111</v>
      </c>
    </row>
    <row r="253" spans="1:10">
      <c r="A253">
        <v>252</v>
      </c>
      <c r="B253" t="s">
        <v>232</v>
      </c>
      <c r="C253" t="s">
        <v>229</v>
      </c>
      <c r="D253" t="s">
        <v>228</v>
      </c>
      <c r="E253" t="s">
        <v>237</v>
      </c>
      <c r="F253" t="s">
        <v>239</v>
      </c>
      <c r="G253" t="s">
        <v>236</v>
      </c>
      <c r="H253" t="s">
        <v>234</v>
      </c>
      <c r="I253" t="s">
        <v>235</v>
      </c>
      <c r="J253" t="str">
        <f t="shared" si="3"/>
        <v>101110010111</v>
      </c>
    </row>
    <row r="254" spans="1:10">
      <c r="A254">
        <v>253</v>
      </c>
      <c r="B254" t="s">
        <v>232</v>
      </c>
      <c r="C254" t="s">
        <v>228</v>
      </c>
      <c r="D254" t="s">
        <v>230</v>
      </c>
      <c r="E254" t="s">
        <v>237</v>
      </c>
      <c r="F254" t="s">
        <v>239</v>
      </c>
      <c r="G254" t="s">
        <v>236</v>
      </c>
      <c r="H254" t="s">
        <v>234</v>
      </c>
      <c r="I254" t="s">
        <v>235</v>
      </c>
      <c r="J254" t="str">
        <f t="shared" si="3"/>
        <v>101110011011</v>
      </c>
    </row>
    <row r="255" spans="1:10">
      <c r="A255">
        <v>254</v>
      </c>
      <c r="B255" t="s">
        <v>232</v>
      </c>
      <c r="C255" t="s">
        <v>229</v>
      </c>
      <c r="D255" t="s">
        <v>228</v>
      </c>
      <c r="E255" t="s">
        <v>237</v>
      </c>
      <c r="F255" t="s">
        <v>239</v>
      </c>
      <c r="G255" t="s">
        <v>236</v>
      </c>
      <c r="H255" t="s">
        <v>234</v>
      </c>
      <c r="I255" t="s">
        <v>230</v>
      </c>
      <c r="J255" t="str">
        <f t="shared" si="3"/>
        <v>101110011101</v>
      </c>
    </row>
    <row r="256" spans="1:10">
      <c r="A256">
        <v>255</v>
      </c>
      <c r="B256" t="s">
        <v>232</v>
      </c>
      <c r="C256" t="s">
        <v>229</v>
      </c>
      <c r="D256" t="s">
        <v>228</v>
      </c>
      <c r="E256" t="s">
        <v>237</v>
      </c>
      <c r="F256" t="s">
        <v>239</v>
      </c>
      <c r="G256" t="s">
        <v>236</v>
      </c>
      <c r="H256" t="s">
        <v>230</v>
      </c>
      <c r="I256" t="s">
        <v>235</v>
      </c>
      <c r="J256" t="str">
        <f t="shared" si="3"/>
        <v>101110011110</v>
      </c>
    </row>
    <row r="257" spans="1:10">
      <c r="A257">
        <v>256</v>
      </c>
      <c r="B257" t="s">
        <v>228</v>
      </c>
      <c r="C257" t="s">
        <v>233</v>
      </c>
      <c r="D257" t="s">
        <v>229</v>
      </c>
      <c r="E257" t="s">
        <v>237</v>
      </c>
      <c r="F257" t="s">
        <v>239</v>
      </c>
      <c r="G257" t="s">
        <v>236</v>
      </c>
      <c r="H257" t="s">
        <v>234</v>
      </c>
      <c r="I257" t="s">
        <v>235</v>
      </c>
      <c r="J257" t="str">
        <f t="shared" si="3"/>
        <v>101110100111</v>
      </c>
    </row>
    <row r="258" spans="1:10">
      <c r="A258">
        <v>257</v>
      </c>
      <c r="B258" t="s">
        <v>228</v>
      </c>
      <c r="C258" t="s">
        <v>233</v>
      </c>
      <c r="D258" t="s">
        <v>230</v>
      </c>
      <c r="E258" t="s">
        <v>237</v>
      </c>
      <c r="F258" t="s">
        <v>239</v>
      </c>
      <c r="G258" t="s">
        <v>236</v>
      </c>
      <c r="H258" t="s">
        <v>234</v>
      </c>
      <c r="I258" t="s">
        <v>235</v>
      </c>
      <c r="J258" t="str">
        <f t="shared" ref="J258:J321" si="4">COUNTIF($B258:$I258,"*A") &amp; COUNTIF($B258:$I258,"*B") &amp; COUNTIF($B258:$I258,"*C") &amp; COUNTIF($B258:$I258,"*D") &amp; COUNTIF($B258:$I258,"*E") &amp; COUNTIF($B258:$I258,"*F") &amp; COUNTIF($B258:$I258,"*G") &amp; COUNTIF($B258:$I258,"*H") &amp; COUNTIF($B258:$I258,"*I") &amp; COUNTIF($B258:$I258,"*J") &amp; COUNTIF($B258:$I258,"*K") &amp; COUNTIF($B258:$I258,"*L")</f>
        <v>101110101011</v>
      </c>
    </row>
    <row r="259" spans="1:10">
      <c r="A259">
        <v>258</v>
      </c>
      <c r="B259" t="s">
        <v>228</v>
      </c>
      <c r="C259" t="s">
        <v>233</v>
      </c>
      <c r="D259" t="s">
        <v>229</v>
      </c>
      <c r="E259" t="s">
        <v>237</v>
      </c>
      <c r="F259" t="s">
        <v>239</v>
      </c>
      <c r="G259" t="s">
        <v>236</v>
      </c>
      <c r="H259" t="s">
        <v>234</v>
      </c>
      <c r="I259" t="s">
        <v>230</v>
      </c>
      <c r="J259" t="str">
        <f t="shared" si="4"/>
        <v>101110101101</v>
      </c>
    </row>
    <row r="260" spans="1:10">
      <c r="A260">
        <v>259</v>
      </c>
      <c r="B260" t="s">
        <v>228</v>
      </c>
      <c r="C260" t="s">
        <v>233</v>
      </c>
      <c r="D260" t="s">
        <v>229</v>
      </c>
      <c r="E260" t="s">
        <v>237</v>
      </c>
      <c r="F260" t="s">
        <v>239</v>
      </c>
      <c r="G260" t="s">
        <v>236</v>
      </c>
      <c r="H260" t="s">
        <v>230</v>
      </c>
      <c r="I260" t="s">
        <v>235</v>
      </c>
      <c r="J260" t="str">
        <f t="shared" si="4"/>
        <v>101110101110</v>
      </c>
    </row>
    <row r="261" spans="1:10">
      <c r="A261">
        <v>260</v>
      </c>
      <c r="B261" t="s">
        <v>232</v>
      </c>
      <c r="C261" t="s">
        <v>233</v>
      </c>
      <c r="D261" t="s">
        <v>228</v>
      </c>
      <c r="E261" t="s">
        <v>237</v>
      </c>
      <c r="F261" t="s">
        <v>239</v>
      </c>
      <c r="G261" t="s">
        <v>236</v>
      </c>
      <c r="H261" t="s">
        <v>234</v>
      </c>
      <c r="I261" t="s">
        <v>235</v>
      </c>
      <c r="J261" t="str">
        <f t="shared" si="4"/>
        <v>101110110011</v>
      </c>
    </row>
    <row r="262" spans="1:10">
      <c r="A262">
        <v>261</v>
      </c>
      <c r="B262" t="s">
        <v>232</v>
      </c>
      <c r="C262" t="s">
        <v>233</v>
      </c>
      <c r="D262" t="s">
        <v>229</v>
      </c>
      <c r="E262" t="s">
        <v>237</v>
      </c>
      <c r="F262" t="s">
        <v>239</v>
      </c>
      <c r="G262" t="s">
        <v>236</v>
      </c>
      <c r="H262" t="s">
        <v>234</v>
      </c>
      <c r="I262" t="s">
        <v>228</v>
      </c>
      <c r="J262" t="str">
        <f t="shared" si="4"/>
        <v>101110110101</v>
      </c>
    </row>
    <row r="263" spans="1:10">
      <c r="A263">
        <v>262</v>
      </c>
      <c r="B263" t="s">
        <v>232</v>
      </c>
      <c r="C263" t="s">
        <v>233</v>
      </c>
      <c r="D263" t="s">
        <v>229</v>
      </c>
      <c r="E263" t="s">
        <v>237</v>
      </c>
      <c r="F263" t="s">
        <v>239</v>
      </c>
      <c r="G263" t="s">
        <v>236</v>
      </c>
      <c r="H263" t="s">
        <v>228</v>
      </c>
      <c r="I263" t="s">
        <v>235</v>
      </c>
      <c r="J263" t="str">
        <f t="shared" si="4"/>
        <v>101110110110</v>
      </c>
    </row>
    <row r="264" spans="1:10">
      <c r="A264">
        <v>263</v>
      </c>
      <c r="B264" t="s">
        <v>232</v>
      </c>
      <c r="C264" t="s">
        <v>233</v>
      </c>
      <c r="D264" t="s">
        <v>228</v>
      </c>
      <c r="E264" t="s">
        <v>237</v>
      </c>
      <c r="F264" t="s">
        <v>239</v>
      </c>
      <c r="G264" t="s">
        <v>236</v>
      </c>
      <c r="H264" t="s">
        <v>234</v>
      </c>
      <c r="I264" t="s">
        <v>230</v>
      </c>
      <c r="J264" t="str">
        <f t="shared" si="4"/>
        <v>101110111001</v>
      </c>
    </row>
    <row r="265" spans="1:10">
      <c r="A265">
        <v>264</v>
      </c>
      <c r="B265" t="s">
        <v>232</v>
      </c>
      <c r="C265" t="s">
        <v>233</v>
      </c>
      <c r="D265" t="s">
        <v>228</v>
      </c>
      <c r="E265" t="s">
        <v>237</v>
      </c>
      <c r="F265" t="s">
        <v>239</v>
      </c>
      <c r="G265" t="s">
        <v>236</v>
      </c>
      <c r="H265" t="s">
        <v>230</v>
      </c>
      <c r="I265" t="s">
        <v>235</v>
      </c>
      <c r="J265" t="str">
        <f t="shared" si="4"/>
        <v>101110111010</v>
      </c>
    </row>
    <row r="266" spans="1:10">
      <c r="A266">
        <v>265</v>
      </c>
      <c r="B266" t="s">
        <v>232</v>
      </c>
      <c r="C266" t="s">
        <v>233</v>
      </c>
      <c r="D266" t="s">
        <v>229</v>
      </c>
      <c r="E266" t="s">
        <v>237</v>
      </c>
      <c r="F266" t="s">
        <v>239</v>
      </c>
      <c r="G266" t="s">
        <v>236</v>
      </c>
      <c r="H266" t="s">
        <v>228</v>
      </c>
      <c r="I266" t="s">
        <v>230</v>
      </c>
      <c r="J266" t="str">
        <f t="shared" si="4"/>
        <v>101110111100</v>
      </c>
    </row>
    <row r="267" spans="1:10">
      <c r="A267">
        <v>266</v>
      </c>
      <c r="B267" t="s">
        <v>237</v>
      </c>
      <c r="C267" t="s">
        <v>229</v>
      </c>
      <c r="D267" t="s">
        <v>228</v>
      </c>
      <c r="E267" t="s">
        <v>236</v>
      </c>
      <c r="F267" t="s">
        <v>239</v>
      </c>
      <c r="G267" t="s">
        <v>231</v>
      </c>
      <c r="H267" t="s">
        <v>234</v>
      </c>
      <c r="I267" t="s">
        <v>235</v>
      </c>
      <c r="J267" t="str">
        <f t="shared" si="4"/>
        <v>101111000111</v>
      </c>
    </row>
    <row r="268" spans="1:10">
      <c r="A268">
        <v>267</v>
      </c>
      <c r="B268" t="s">
        <v>237</v>
      </c>
      <c r="C268" t="s">
        <v>228</v>
      </c>
      <c r="D268" t="s">
        <v>230</v>
      </c>
      <c r="E268" t="s">
        <v>236</v>
      </c>
      <c r="F268" t="s">
        <v>239</v>
      </c>
      <c r="G268" t="s">
        <v>231</v>
      </c>
      <c r="H268" t="s">
        <v>234</v>
      </c>
      <c r="I268" t="s">
        <v>235</v>
      </c>
      <c r="J268" t="str">
        <f t="shared" si="4"/>
        <v>101111001011</v>
      </c>
    </row>
    <row r="269" spans="1:10">
      <c r="A269">
        <v>268</v>
      </c>
      <c r="B269" t="s">
        <v>237</v>
      </c>
      <c r="C269" t="s">
        <v>229</v>
      </c>
      <c r="D269" t="s">
        <v>228</v>
      </c>
      <c r="E269" t="s">
        <v>236</v>
      </c>
      <c r="F269" t="s">
        <v>239</v>
      </c>
      <c r="G269" t="s">
        <v>231</v>
      </c>
      <c r="H269" t="s">
        <v>234</v>
      </c>
      <c r="I269" t="s">
        <v>230</v>
      </c>
      <c r="J269" t="str">
        <f t="shared" si="4"/>
        <v>101111001101</v>
      </c>
    </row>
    <row r="270" spans="1:10">
      <c r="A270">
        <v>269</v>
      </c>
      <c r="B270" t="s">
        <v>237</v>
      </c>
      <c r="C270" t="s">
        <v>229</v>
      </c>
      <c r="D270" t="s">
        <v>228</v>
      </c>
      <c r="E270" t="s">
        <v>236</v>
      </c>
      <c r="F270" t="s">
        <v>239</v>
      </c>
      <c r="G270" t="s">
        <v>231</v>
      </c>
      <c r="H270" t="s">
        <v>230</v>
      </c>
      <c r="I270" t="s">
        <v>235</v>
      </c>
      <c r="J270" t="str">
        <f t="shared" si="4"/>
        <v>101111001110</v>
      </c>
    </row>
    <row r="271" spans="1:10">
      <c r="A271">
        <v>270</v>
      </c>
      <c r="B271" t="s">
        <v>232</v>
      </c>
      <c r="C271" t="s">
        <v>228</v>
      </c>
      <c r="D271" t="s">
        <v>231</v>
      </c>
      <c r="E271" t="s">
        <v>237</v>
      </c>
      <c r="F271" t="s">
        <v>239</v>
      </c>
      <c r="G271" t="s">
        <v>236</v>
      </c>
      <c r="H271" t="s">
        <v>234</v>
      </c>
      <c r="I271" t="s">
        <v>235</v>
      </c>
      <c r="J271" t="str">
        <f t="shared" si="4"/>
        <v>101111010011</v>
      </c>
    </row>
    <row r="272" spans="1:10">
      <c r="A272">
        <v>271</v>
      </c>
      <c r="B272" t="s">
        <v>232</v>
      </c>
      <c r="C272" t="s">
        <v>229</v>
      </c>
      <c r="D272" t="s">
        <v>231</v>
      </c>
      <c r="E272" t="s">
        <v>237</v>
      </c>
      <c r="F272" t="s">
        <v>239</v>
      </c>
      <c r="G272" t="s">
        <v>236</v>
      </c>
      <c r="H272" t="s">
        <v>234</v>
      </c>
      <c r="I272" t="s">
        <v>228</v>
      </c>
      <c r="J272" t="str">
        <f t="shared" si="4"/>
        <v>101111010101</v>
      </c>
    </row>
    <row r="273" spans="1:10">
      <c r="A273">
        <v>272</v>
      </c>
      <c r="B273" t="s">
        <v>232</v>
      </c>
      <c r="C273" t="s">
        <v>229</v>
      </c>
      <c r="D273" t="s">
        <v>228</v>
      </c>
      <c r="E273" t="s">
        <v>237</v>
      </c>
      <c r="F273" t="s">
        <v>239</v>
      </c>
      <c r="G273" t="s">
        <v>231</v>
      </c>
      <c r="H273" t="s">
        <v>236</v>
      </c>
      <c r="I273" t="s">
        <v>235</v>
      </c>
      <c r="J273" t="str">
        <f t="shared" si="4"/>
        <v>101111010110</v>
      </c>
    </row>
    <row r="274" spans="1:10">
      <c r="A274">
        <v>273</v>
      </c>
      <c r="B274" t="s">
        <v>232</v>
      </c>
      <c r="C274" t="s">
        <v>228</v>
      </c>
      <c r="D274" t="s">
        <v>231</v>
      </c>
      <c r="E274" t="s">
        <v>237</v>
      </c>
      <c r="F274" t="s">
        <v>239</v>
      </c>
      <c r="G274" t="s">
        <v>236</v>
      </c>
      <c r="H274" t="s">
        <v>234</v>
      </c>
      <c r="I274" t="s">
        <v>230</v>
      </c>
      <c r="J274" t="str">
        <f t="shared" si="4"/>
        <v>101111011001</v>
      </c>
    </row>
    <row r="275" spans="1:10">
      <c r="A275">
        <v>274</v>
      </c>
      <c r="B275" t="s">
        <v>232</v>
      </c>
      <c r="C275" t="s">
        <v>228</v>
      </c>
      <c r="D275" t="s">
        <v>231</v>
      </c>
      <c r="E275" t="s">
        <v>237</v>
      </c>
      <c r="F275" t="s">
        <v>239</v>
      </c>
      <c r="G275" t="s">
        <v>236</v>
      </c>
      <c r="H275" t="s">
        <v>230</v>
      </c>
      <c r="I275" t="s">
        <v>235</v>
      </c>
      <c r="J275" t="str">
        <f t="shared" si="4"/>
        <v>101111011010</v>
      </c>
    </row>
    <row r="276" spans="1:10">
      <c r="A276">
        <v>275</v>
      </c>
      <c r="B276" t="s">
        <v>232</v>
      </c>
      <c r="C276" t="s">
        <v>229</v>
      </c>
      <c r="D276" t="s">
        <v>228</v>
      </c>
      <c r="E276" t="s">
        <v>237</v>
      </c>
      <c r="F276" t="s">
        <v>239</v>
      </c>
      <c r="G276" t="s">
        <v>231</v>
      </c>
      <c r="H276" t="s">
        <v>236</v>
      </c>
      <c r="I276" t="s">
        <v>230</v>
      </c>
      <c r="J276" t="str">
        <f t="shared" si="4"/>
        <v>101111011100</v>
      </c>
    </row>
    <row r="277" spans="1:10">
      <c r="A277">
        <v>276</v>
      </c>
      <c r="B277" t="s">
        <v>237</v>
      </c>
      <c r="C277" t="s">
        <v>233</v>
      </c>
      <c r="D277" t="s">
        <v>228</v>
      </c>
      <c r="E277" t="s">
        <v>236</v>
      </c>
      <c r="F277" t="s">
        <v>239</v>
      </c>
      <c r="G277" t="s">
        <v>231</v>
      </c>
      <c r="H277" t="s">
        <v>234</v>
      </c>
      <c r="I277" t="s">
        <v>235</v>
      </c>
      <c r="J277" t="str">
        <f t="shared" si="4"/>
        <v>101111100011</v>
      </c>
    </row>
    <row r="278" spans="1:10">
      <c r="A278">
        <v>277</v>
      </c>
      <c r="B278" t="s">
        <v>237</v>
      </c>
      <c r="C278" t="s">
        <v>233</v>
      </c>
      <c r="D278" t="s">
        <v>229</v>
      </c>
      <c r="E278" t="s">
        <v>236</v>
      </c>
      <c r="F278" t="s">
        <v>239</v>
      </c>
      <c r="G278" t="s">
        <v>231</v>
      </c>
      <c r="H278" t="s">
        <v>234</v>
      </c>
      <c r="I278" t="s">
        <v>228</v>
      </c>
      <c r="J278" t="str">
        <f t="shared" si="4"/>
        <v>101111100101</v>
      </c>
    </row>
    <row r="279" spans="1:10">
      <c r="A279">
        <v>278</v>
      </c>
      <c r="B279" t="s">
        <v>237</v>
      </c>
      <c r="C279" t="s">
        <v>233</v>
      </c>
      <c r="D279" t="s">
        <v>229</v>
      </c>
      <c r="E279" t="s">
        <v>236</v>
      </c>
      <c r="F279" t="s">
        <v>239</v>
      </c>
      <c r="G279" t="s">
        <v>231</v>
      </c>
      <c r="H279" t="s">
        <v>228</v>
      </c>
      <c r="I279" t="s">
        <v>235</v>
      </c>
      <c r="J279" t="str">
        <f t="shared" si="4"/>
        <v>101111100110</v>
      </c>
    </row>
    <row r="280" spans="1:10">
      <c r="A280">
        <v>279</v>
      </c>
      <c r="B280" t="s">
        <v>237</v>
      </c>
      <c r="C280" t="s">
        <v>233</v>
      </c>
      <c r="D280" t="s">
        <v>228</v>
      </c>
      <c r="E280" t="s">
        <v>236</v>
      </c>
      <c r="F280" t="s">
        <v>239</v>
      </c>
      <c r="G280" t="s">
        <v>231</v>
      </c>
      <c r="H280" t="s">
        <v>234</v>
      </c>
      <c r="I280" t="s">
        <v>230</v>
      </c>
      <c r="J280" t="str">
        <f t="shared" si="4"/>
        <v>101111101001</v>
      </c>
    </row>
    <row r="281" spans="1:10">
      <c r="A281">
        <v>280</v>
      </c>
      <c r="B281" t="s">
        <v>237</v>
      </c>
      <c r="C281" t="s">
        <v>233</v>
      </c>
      <c r="D281" t="s">
        <v>228</v>
      </c>
      <c r="E281" t="s">
        <v>236</v>
      </c>
      <c r="F281" t="s">
        <v>239</v>
      </c>
      <c r="G281" t="s">
        <v>231</v>
      </c>
      <c r="H281" t="s">
        <v>230</v>
      </c>
      <c r="I281" t="s">
        <v>235</v>
      </c>
      <c r="J281" t="str">
        <f t="shared" si="4"/>
        <v>101111101010</v>
      </c>
    </row>
    <row r="282" spans="1:10">
      <c r="A282">
        <v>281</v>
      </c>
      <c r="B282" t="s">
        <v>237</v>
      </c>
      <c r="C282" t="s">
        <v>233</v>
      </c>
      <c r="D282" t="s">
        <v>229</v>
      </c>
      <c r="E282" t="s">
        <v>236</v>
      </c>
      <c r="F282" t="s">
        <v>239</v>
      </c>
      <c r="G282" t="s">
        <v>231</v>
      </c>
      <c r="H282" t="s">
        <v>228</v>
      </c>
      <c r="I282" t="s">
        <v>230</v>
      </c>
      <c r="J282" t="str">
        <f t="shared" si="4"/>
        <v>101111101100</v>
      </c>
    </row>
    <row r="283" spans="1:10">
      <c r="A283">
        <v>282</v>
      </c>
      <c r="B283" t="s">
        <v>232</v>
      </c>
      <c r="C283" t="s">
        <v>233</v>
      </c>
      <c r="D283" t="s">
        <v>231</v>
      </c>
      <c r="E283" t="s">
        <v>237</v>
      </c>
      <c r="F283" t="s">
        <v>239</v>
      </c>
      <c r="G283" t="s">
        <v>236</v>
      </c>
      <c r="H283" t="s">
        <v>234</v>
      </c>
      <c r="I283" t="s">
        <v>228</v>
      </c>
      <c r="J283" t="str">
        <f t="shared" si="4"/>
        <v>101111110001</v>
      </c>
    </row>
    <row r="284" spans="1:10">
      <c r="A284">
        <v>283</v>
      </c>
      <c r="B284" t="s">
        <v>232</v>
      </c>
      <c r="C284" t="s">
        <v>233</v>
      </c>
      <c r="D284" t="s">
        <v>228</v>
      </c>
      <c r="E284" t="s">
        <v>237</v>
      </c>
      <c r="F284" t="s">
        <v>239</v>
      </c>
      <c r="G284" t="s">
        <v>231</v>
      </c>
      <c r="H284" t="s">
        <v>236</v>
      </c>
      <c r="I284" t="s">
        <v>235</v>
      </c>
      <c r="J284" t="str">
        <f t="shared" si="4"/>
        <v>101111110010</v>
      </c>
    </row>
    <row r="285" spans="1:10">
      <c r="A285">
        <v>284</v>
      </c>
      <c r="B285" t="s">
        <v>232</v>
      </c>
      <c r="C285" t="s">
        <v>233</v>
      </c>
      <c r="D285" t="s">
        <v>229</v>
      </c>
      <c r="E285" t="s">
        <v>237</v>
      </c>
      <c r="F285" t="s">
        <v>239</v>
      </c>
      <c r="G285" t="s">
        <v>231</v>
      </c>
      <c r="H285" t="s">
        <v>236</v>
      </c>
      <c r="I285" t="s">
        <v>228</v>
      </c>
      <c r="J285" t="str">
        <f t="shared" si="4"/>
        <v>101111110100</v>
      </c>
    </row>
    <row r="286" spans="1:10">
      <c r="A286">
        <v>285</v>
      </c>
      <c r="B286" t="s">
        <v>232</v>
      </c>
      <c r="C286" t="s">
        <v>233</v>
      </c>
      <c r="D286" t="s">
        <v>228</v>
      </c>
      <c r="E286" t="s">
        <v>237</v>
      </c>
      <c r="F286" t="s">
        <v>239</v>
      </c>
      <c r="G286" t="s">
        <v>231</v>
      </c>
      <c r="H286" t="s">
        <v>236</v>
      </c>
      <c r="I286" t="s">
        <v>230</v>
      </c>
      <c r="J286" t="str">
        <f t="shared" si="4"/>
        <v>101111111000</v>
      </c>
    </row>
    <row r="287" spans="1:10">
      <c r="A287">
        <v>286</v>
      </c>
      <c r="B287" t="s">
        <v>232</v>
      </c>
      <c r="C287" t="s">
        <v>229</v>
      </c>
      <c r="D287" t="s">
        <v>238</v>
      </c>
      <c r="E287" t="s">
        <v>239</v>
      </c>
      <c r="F287" t="s">
        <v>230</v>
      </c>
      <c r="G287" t="s">
        <v>233</v>
      </c>
      <c r="H287" t="s">
        <v>234</v>
      </c>
      <c r="I287" t="s">
        <v>235</v>
      </c>
      <c r="J287" t="str">
        <f t="shared" si="4"/>
        <v>110000111111</v>
      </c>
    </row>
    <row r="288" spans="1:10">
      <c r="A288">
        <v>287</v>
      </c>
      <c r="B288" t="s">
        <v>232</v>
      </c>
      <c r="C288" t="s">
        <v>229</v>
      </c>
      <c r="D288" t="s">
        <v>238</v>
      </c>
      <c r="E288" t="s">
        <v>239</v>
      </c>
      <c r="F288" t="s">
        <v>230</v>
      </c>
      <c r="G288" t="s">
        <v>231</v>
      </c>
      <c r="H288" t="s">
        <v>234</v>
      </c>
      <c r="I288" t="s">
        <v>235</v>
      </c>
      <c r="J288" t="str">
        <f t="shared" si="4"/>
        <v>110001011111</v>
      </c>
    </row>
    <row r="289" spans="1:10">
      <c r="A289">
        <v>288</v>
      </c>
      <c r="B289" t="s">
        <v>230</v>
      </c>
      <c r="C289" t="s">
        <v>229</v>
      </c>
      <c r="D289" t="s">
        <v>238</v>
      </c>
      <c r="E289" t="s">
        <v>231</v>
      </c>
      <c r="F289" t="s">
        <v>239</v>
      </c>
      <c r="G289" t="s">
        <v>233</v>
      </c>
      <c r="H289" t="s">
        <v>234</v>
      </c>
      <c r="I289" t="s">
        <v>235</v>
      </c>
      <c r="J289" t="str">
        <f t="shared" si="4"/>
        <v>110001101111</v>
      </c>
    </row>
    <row r="290" spans="1:10">
      <c r="A290">
        <v>289</v>
      </c>
      <c r="B290" t="s">
        <v>232</v>
      </c>
      <c r="C290" t="s">
        <v>229</v>
      </c>
      <c r="D290" t="s">
        <v>238</v>
      </c>
      <c r="E290" t="s">
        <v>231</v>
      </c>
      <c r="F290" t="s">
        <v>239</v>
      </c>
      <c r="G290" t="s">
        <v>233</v>
      </c>
      <c r="H290" t="s">
        <v>234</v>
      </c>
      <c r="I290" t="s">
        <v>235</v>
      </c>
      <c r="J290" t="str">
        <f t="shared" si="4"/>
        <v>110001110111</v>
      </c>
    </row>
    <row r="291" spans="1:10">
      <c r="A291">
        <v>290</v>
      </c>
      <c r="B291" t="s">
        <v>232</v>
      </c>
      <c r="C291" t="s">
        <v>233</v>
      </c>
      <c r="D291" t="s">
        <v>238</v>
      </c>
      <c r="E291" t="s">
        <v>239</v>
      </c>
      <c r="F291" t="s">
        <v>230</v>
      </c>
      <c r="G291" t="s">
        <v>231</v>
      </c>
      <c r="H291" t="s">
        <v>234</v>
      </c>
      <c r="I291" t="s">
        <v>235</v>
      </c>
      <c r="J291" t="str">
        <f t="shared" si="4"/>
        <v>110001111011</v>
      </c>
    </row>
    <row r="292" spans="1:10">
      <c r="A292">
        <v>291</v>
      </c>
      <c r="B292" t="s">
        <v>232</v>
      </c>
      <c r="C292" t="s">
        <v>229</v>
      </c>
      <c r="D292" t="s">
        <v>238</v>
      </c>
      <c r="E292" t="s">
        <v>231</v>
      </c>
      <c r="F292" t="s">
        <v>239</v>
      </c>
      <c r="G292" t="s">
        <v>233</v>
      </c>
      <c r="H292" t="s">
        <v>234</v>
      </c>
      <c r="I292" t="s">
        <v>230</v>
      </c>
      <c r="J292" t="str">
        <f t="shared" si="4"/>
        <v>110001111101</v>
      </c>
    </row>
    <row r="293" spans="1:10">
      <c r="A293">
        <v>292</v>
      </c>
      <c r="B293" t="s">
        <v>232</v>
      </c>
      <c r="C293" t="s">
        <v>229</v>
      </c>
      <c r="D293" t="s">
        <v>238</v>
      </c>
      <c r="E293" t="s">
        <v>231</v>
      </c>
      <c r="F293" t="s">
        <v>239</v>
      </c>
      <c r="G293" t="s">
        <v>233</v>
      </c>
      <c r="H293" t="s">
        <v>230</v>
      </c>
      <c r="I293" t="s">
        <v>235</v>
      </c>
      <c r="J293" t="str">
        <f t="shared" si="4"/>
        <v>110001111110</v>
      </c>
    </row>
    <row r="294" spans="1:10">
      <c r="A294">
        <v>293</v>
      </c>
      <c r="B294" t="s">
        <v>228</v>
      </c>
      <c r="C294" t="s">
        <v>229</v>
      </c>
      <c r="D294" t="s">
        <v>238</v>
      </c>
      <c r="E294" t="s">
        <v>239</v>
      </c>
      <c r="F294" t="s">
        <v>230</v>
      </c>
      <c r="G294" t="s">
        <v>232</v>
      </c>
      <c r="H294" t="s">
        <v>234</v>
      </c>
      <c r="I294" t="s">
        <v>235</v>
      </c>
      <c r="J294" t="str">
        <f t="shared" si="4"/>
        <v>110010011111</v>
      </c>
    </row>
    <row r="295" spans="1:10">
      <c r="A295">
        <v>294</v>
      </c>
      <c r="B295" t="s">
        <v>228</v>
      </c>
      <c r="C295" t="s">
        <v>229</v>
      </c>
      <c r="D295" t="s">
        <v>238</v>
      </c>
      <c r="E295" t="s">
        <v>239</v>
      </c>
      <c r="F295" t="s">
        <v>230</v>
      </c>
      <c r="G295" t="s">
        <v>233</v>
      </c>
      <c r="H295" t="s">
        <v>234</v>
      </c>
      <c r="I295" t="s">
        <v>235</v>
      </c>
      <c r="J295" t="str">
        <f t="shared" si="4"/>
        <v>110010101111</v>
      </c>
    </row>
    <row r="296" spans="1:10">
      <c r="A296">
        <v>295</v>
      </c>
      <c r="B296" t="s">
        <v>228</v>
      </c>
      <c r="C296" t="s">
        <v>229</v>
      </c>
      <c r="D296" t="s">
        <v>238</v>
      </c>
      <c r="E296" t="s">
        <v>239</v>
      </c>
      <c r="F296" t="s">
        <v>232</v>
      </c>
      <c r="G296" t="s">
        <v>233</v>
      </c>
      <c r="H296" t="s">
        <v>234</v>
      </c>
      <c r="I296" t="s">
        <v>235</v>
      </c>
      <c r="J296" t="str">
        <f t="shared" si="4"/>
        <v>110010110111</v>
      </c>
    </row>
    <row r="297" spans="1:10">
      <c r="A297">
        <v>296</v>
      </c>
      <c r="B297" t="s">
        <v>228</v>
      </c>
      <c r="C297" t="s">
        <v>233</v>
      </c>
      <c r="D297" t="s">
        <v>238</v>
      </c>
      <c r="E297" t="s">
        <v>239</v>
      </c>
      <c r="F297" t="s">
        <v>230</v>
      </c>
      <c r="G297" t="s">
        <v>232</v>
      </c>
      <c r="H297" t="s">
        <v>234</v>
      </c>
      <c r="I297" t="s">
        <v>235</v>
      </c>
      <c r="J297" t="str">
        <f t="shared" si="4"/>
        <v>110010111011</v>
      </c>
    </row>
    <row r="298" spans="1:10">
      <c r="A298">
        <v>297</v>
      </c>
      <c r="B298" t="s">
        <v>228</v>
      </c>
      <c r="C298" t="s">
        <v>229</v>
      </c>
      <c r="D298" t="s">
        <v>238</v>
      </c>
      <c r="E298" t="s">
        <v>239</v>
      </c>
      <c r="F298" t="s">
        <v>232</v>
      </c>
      <c r="G298" t="s">
        <v>233</v>
      </c>
      <c r="H298" t="s">
        <v>234</v>
      </c>
      <c r="I298" t="s">
        <v>230</v>
      </c>
      <c r="J298" t="str">
        <f t="shared" si="4"/>
        <v>110010111101</v>
      </c>
    </row>
    <row r="299" spans="1:10">
      <c r="A299">
        <v>298</v>
      </c>
      <c r="B299" t="s">
        <v>228</v>
      </c>
      <c r="C299" t="s">
        <v>229</v>
      </c>
      <c r="D299" t="s">
        <v>238</v>
      </c>
      <c r="E299" t="s">
        <v>239</v>
      </c>
      <c r="F299" t="s">
        <v>232</v>
      </c>
      <c r="G299" t="s">
        <v>233</v>
      </c>
      <c r="H299" t="s">
        <v>230</v>
      </c>
      <c r="I299" t="s">
        <v>235</v>
      </c>
      <c r="J299" t="str">
        <f t="shared" si="4"/>
        <v>110010111110</v>
      </c>
    </row>
    <row r="300" spans="1:10">
      <c r="A300">
        <v>299</v>
      </c>
      <c r="B300" t="s">
        <v>228</v>
      </c>
      <c r="C300" t="s">
        <v>229</v>
      </c>
      <c r="D300" t="s">
        <v>238</v>
      </c>
      <c r="E300" t="s">
        <v>239</v>
      </c>
      <c r="F300" t="s">
        <v>230</v>
      </c>
      <c r="G300" t="s">
        <v>231</v>
      </c>
      <c r="H300" t="s">
        <v>234</v>
      </c>
      <c r="I300" t="s">
        <v>235</v>
      </c>
      <c r="J300" t="str">
        <f t="shared" si="4"/>
        <v>110011001111</v>
      </c>
    </row>
    <row r="301" spans="1:10">
      <c r="A301">
        <v>300</v>
      </c>
      <c r="B301" t="s">
        <v>228</v>
      </c>
      <c r="C301" t="s">
        <v>229</v>
      </c>
      <c r="D301" t="s">
        <v>238</v>
      </c>
      <c r="E301" t="s">
        <v>231</v>
      </c>
      <c r="F301" t="s">
        <v>239</v>
      </c>
      <c r="G301" t="s">
        <v>232</v>
      </c>
      <c r="H301" t="s">
        <v>234</v>
      </c>
      <c r="I301" t="s">
        <v>235</v>
      </c>
      <c r="J301" t="str">
        <f t="shared" si="4"/>
        <v>110011010111</v>
      </c>
    </row>
    <row r="302" spans="1:10">
      <c r="A302">
        <v>301</v>
      </c>
      <c r="B302" t="s">
        <v>228</v>
      </c>
      <c r="C302" t="s">
        <v>230</v>
      </c>
      <c r="D302" t="s">
        <v>238</v>
      </c>
      <c r="E302" t="s">
        <v>231</v>
      </c>
      <c r="F302" t="s">
        <v>239</v>
      </c>
      <c r="G302" t="s">
        <v>232</v>
      </c>
      <c r="H302" t="s">
        <v>234</v>
      </c>
      <c r="I302" t="s">
        <v>235</v>
      </c>
      <c r="J302" t="str">
        <f t="shared" si="4"/>
        <v>110011011011</v>
      </c>
    </row>
    <row r="303" spans="1:10">
      <c r="A303">
        <v>302</v>
      </c>
      <c r="B303" t="s">
        <v>228</v>
      </c>
      <c r="C303" t="s">
        <v>229</v>
      </c>
      <c r="D303" t="s">
        <v>238</v>
      </c>
      <c r="E303" t="s">
        <v>231</v>
      </c>
      <c r="F303" t="s">
        <v>239</v>
      </c>
      <c r="G303" t="s">
        <v>232</v>
      </c>
      <c r="H303" t="s">
        <v>234</v>
      </c>
      <c r="I303" t="s">
        <v>230</v>
      </c>
      <c r="J303" t="str">
        <f t="shared" si="4"/>
        <v>110011011101</v>
      </c>
    </row>
    <row r="304" spans="1:10">
      <c r="A304">
        <v>303</v>
      </c>
      <c r="B304" t="s">
        <v>228</v>
      </c>
      <c r="C304" t="s">
        <v>229</v>
      </c>
      <c r="D304" t="s">
        <v>238</v>
      </c>
      <c r="E304" t="s">
        <v>231</v>
      </c>
      <c r="F304" t="s">
        <v>239</v>
      </c>
      <c r="G304" t="s">
        <v>232</v>
      </c>
      <c r="H304" t="s">
        <v>230</v>
      </c>
      <c r="I304" t="s">
        <v>235</v>
      </c>
      <c r="J304" t="str">
        <f t="shared" si="4"/>
        <v>110011011110</v>
      </c>
    </row>
    <row r="305" spans="1:10">
      <c r="A305">
        <v>304</v>
      </c>
      <c r="B305" t="s">
        <v>228</v>
      </c>
      <c r="C305" t="s">
        <v>229</v>
      </c>
      <c r="D305" t="s">
        <v>238</v>
      </c>
      <c r="E305" t="s">
        <v>231</v>
      </c>
      <c r="F305" t="s">
        <v>239</v>
      </c>
      <c r="G305" t="s">
        <v>233</v>
      </c>
      <c r="H305" t="s">
        <v>234</v>
      </c>
      <c r="I305" t="s">
        <v>235</v>
      </c>
      <c r="J305" t="str">
        <f t="shared" si="4"/>
        <v>110011100111</v>
      </c>
    </row>
    <row r="306" spans="1:10">
      <c r="A306">
        <v>305</v>
      </c>
      <c r="B306" t="s">
        <v>228</v>
      </c>
      <c r="C306" t="s">
        <v>233</v>
      </c>
      <c r="D306" t="s">
        <v>238</v>
      </c>
      <c r="E306" t="s">
        <v>239</v>
      </c>
      <c r="F306" t="s">
        <v>230</v>
      </c>
      <c r="G306" t="s">
        <v>231</v>
      </c>
      <c r="H306" t="s">
        <v>234</v>
      </c>
      <c r="I306" t="s">
        <v>235</v>
      </c>
      <c r="J306" t="str">
        <f t="shared" si="4"/>
        <v>110011101011</v>
      </c>
    </row>
    <row r="307" spans="1:10">
      <c r="A307">
        <v>306</v>
      </c>
      <c r="B307" t="s">
        <v>228</v>
      </c>
      <c r="C307" t="s">
        <v>229</v>
      </c>
      <c r="D307" t="s">
        <v>238</v>
      </c>
      <c r="E307" t="s">
        <v>231</v>
      </c>
      <c r="F307" t="s">
        <v>239</v>
      </c>
      <c r="G307" t="s">
        <v>233</v>
      </c>
      <c r="H307" t="s">
        <v>234</v>
      </c>
      <c r="I307" t="s">
        <v>230</v>
      </c>
      <c r="J307" t="str">
        <f t="shared" si="4"/>
        <v>110011101101</v>
      </c>
    </row>
    <row r="308" spans="1:10">
      <c r="A308">
        <v>307</v>
      </c>
      <c r="B308" t="s">
        <v>228</v>
      </c>
      <c r="C308" t="s">
        <v>229</v>
      </c>
      <c r="D308" t="s">
        <v>238</v>
      </c>
      <c r="E308" t="s">
        <v>231</v>
      </c>
      <c r="F308" t="s">
        <v>239</v>
      </c>
      <c r="G308" t="s">
        <v>233</v>
      </c>
      <c r="H308" t="s">
        <v>230</v>
      </c>
      <c r="I308" t="s">
        <v>235</v>
      </c>
      <c r="J308" t="str">
        <f t="shared" si="4"/>
        <v>110011101110</v>
      </c>
    </row>
    <row r="309" spans="1:10">
      <c r="A309">
        <v>308</v>
      </c>
      <c r="B309" t="s">
        <v>228</v>
      </c>
      <c r="C309" t="s">
        <v>233</v>
      </c>
      <c r="D309" t="s">
        <v>238</v>
      </c>
      <c r="E309" t="s">
        <v>231</v>
      </c>
      <c r="F309" t="s">
        <v>239</v>
      </c>
      <c r="G309" t="s">
        <v>232</v>
      </c>
      <c r="H309" t="s">
        <v>234</v>
      </c>
      <c r="I309" t="s">
        <v>235</v>
      </c>
      <c r="J309" t="str">
        <f t="shared" si="4"/>
        <v>110011110011</v>
      </c>
    </row>
    <row r="310" spans="1:10">
      <c r="A310">
        <v>309</v>
      </c>
      <c r="B310" t="s">
        <v>232</v>
      </c>
      <c r="C310" t="s">
        <v>229</v>
      </c>
      <c r="D310" t="s">
        <v>238</v>
      </c>
      <c r="E310" t="s">
        <v>231</v>
      </c>
      <c r="F310" t="s">
        <v>239</v>
      </c>
      <c r="G310" t="s">
        <v>233</v>
      </c>
      <c r="H310" t="s">
        <v>234</v>
      </c>
      <c r="I310" t="s">
        <v>228</v>
      </c>
      <c r="J310" t="str">
        <f t="shared" si="4"/>
        <v>110011110101</v>
      </c>
    </row>
    <row r="311" spans="1:10">
      <c r="A311">
        <v>310</v>
      </c>
      <c r="B311" t="s">
        <v>232</v>
      </c>
      <c r="C311" t="s">
        <v>229</v>
      </c>
      <c r="D311" t="s">
        <v>238</v>
      </c>
      <c r="E311" t="s">
        <v>231</v>
      </c>
      <c r="F311" t="s">
        <v>239</v>
      </c>
      <c r="G311" t="s">
        <v>233</v>
      </c>
      <c r="H311" t="s">
        <v>228</v>
      </c>
      <c r="I311" t="s">
        <v>235</v>
      </c>
      <c r="J311" t="str">
        <f t="shared" si="4"/>
        <v>110011110110</v>
      </c>
    </row>
    <row r="312" spans="1:10">
      <c r="A312">
        <v>311</v>
      </c>
      <c r="B312" t="s">
        <v>228</v>
      </c>
      <c r="C312" t="s">
        <v>233</v>
      </c>
      <c r="D312" t="s">
        <v>238</v>
      </c>
      <c r="E312" t="s">
        <v>231</v>
      </c>
      <c r="F312" t="s">
        <v>239</v>
      </c>
      <c r="G312" t="s">
        <v>232</v>
      </c>
      <c r="H312" t="s">
        <v>234</v>
      </c>
      <c r="I312" t="s">
        <v>230</v>
      </c>
      <c r="J312" t="str">
        <f t="shared" si="4"/>
        <v>110011111001</v>
      </c>
    </row>
    <row r="313" spans="1:10">
      <c r="A313">
        <v>312</v>
      </c>
      <c r="B313" t="s">
        <v>228</v>
      </c>
      <c r="C313" t="s">
        <v>233</v>
      </c>
      <c r="D313" t="s">
        <v>238</v>
      </c>
      <c r="E313" t="s">
        <v>231</v>
      </c>
      <c r="F313" t="s">
        <v>239</v>
      </c>
      <c r="G313" t="s">
        <v>232</v>
      </c>
      <c r="H313" t="s">
        <v>230</v>
      </c>
      <c r="I313" t="s">
        <v>235</v>
      </c>
      <c r="J313" t="str">
        <f t="shared" si="4"/>
        <v>110011111010</v>
      </c>
    </row>
    <row r="314" spans="1:10">
      <c r="A314">
        <v>313</v>
      </c>
      <c r="B314" t="s">
        <v>232</v>
      </c>
      <c r="C314" t="s">
        <v>229</v>
      </c>
      <c r="D314" t="s">
        <v>238</v>
      </c>
      <c r="E314" t="s">
        <v>231</v>
      </c>
      <c r="F314" t="s">
        <v>239</v>
      </c>
      <c r="G314" t="s">
        <v>233</v>
      </c>
      <c r="H314" t="s">
        <v>228</v>
      </c>
      <c r="I314" t="s">
        <v>230</v>
      </c>
      <c r="J314" t="str">
        <f t="shared" si="4"/>
        <v>110011111100</v>
      </c>
    </row>
    <row r="315" spans="1:10">
      <c r="A315">
        <v>314</v>
      </c>
      <c r="B315" t="s">
        <v>230</v>
      </c>
      <c r="C315" t="s">
        <v>229</v>
      </c>
      <c r="D315" t="s">
        <v>238</v>
      </c>
      <c r="E315" t="s">
        <v>236</v>
      </c>
      <c r="F315" t="s">
        <v>239</v>
      </c>
      <c r="G315" t="s">
        <v>232</v>
      </c>
      <c r="H315" t="s">
        <v>234</v>
      </c>
      <c r="I315" t="s">
        <v>235</v>
      </c>
      <c r="J315" t="str">
        <f t="shared" si="4"/>
        <v>110100011111</v>
      </c>
    </row>
    <row r="316" spans="1:10">
      <c r="A316">
        <v>315</v>
      </c>
      <c r="B316" t="s">
        <v>230</v>
      </c>
      <c r="C316" t="s">
        <v>229</v>
      </c>
      <c r="D316" t="s">
        <v>238</v>
      </c>
      <c r="E316" t="s">
        <v>236</v>
      </c>
      <c r="F316" t="s">
        <v>239</v>
      </c>
      <c r="G316" t="s">
        <v>233</v>
      </c>
      <c r="H316" t="s">
        <v>234</v>
      </c>
      <c r="I316" t="s">
        <v>235</v>
      </c>
      <c r="J316" t="str">
        <f t="shared" si="4"/>
        <v>110100101111</v>
      </c>
    </row>
    <row r="317" spans="1:10">
      <c r="A317">
        <v>316</v>
      </c>
      <c r="B317" t="s">
        <v>232</v>
      </c>
      <c r="C317" t="s">
        <v>229</v>
      </c>
      <c r="D317" t="s">
        <v>238</v>
      </c>
      <c r="E317" t="s">
        <v>236</v>
      </c>
      <c r="F317" t="s">
        <v>239</v>
      </c>
      <c r="G317" t="s">
        <v>233</v>
      </c>
      <c r="H317" t="s">
        <v>234</v>
      </c>
      <c r="I317" t="s">
        <v>235</v>
      </c>
      <c r="J317" t="str">
        <f t="shared" si="4"/>
        <v>110100110111</v>
      </c>
    </row>
    <row r="318" spans="1:10">
      <c r="A318">
        <v>317</v>
      </c>
      <c r="B318" t="s">
        <v>230</v>
      </c>
      <c r="C318" t="s">
        <v>233</v>
      </c>
      <c r="D318" t="s">
        <v>238</v>
      </c>
      <c r="E318" t="s">
        <v>236</v>
      </c>
      <c r="F318" t="s">
        <v>239</v>
      </c>
      <c r="G318" t="s">
        <v>232</v>
      </c>
      <c r="H318" t="s">
        <v>234</v>
      </c>
      <c r="I318" t="s">
        <v>235</v>
      </c>
      <c r="J318" t="str">
        <f t="shared" si="4"/>
        <v>110100111011</v>
      </c>
    </row>
    <row r="319" spans="1:10">
      <c r="A319">
        <v>318</v>
      </c>
      <c r="B319" t="s">
        <v>232</v>
      </c>
      <c r="C319" t="s">
        <v>229</v>
      </c>
      <c r="D319" t="s">
        <v>238</v>
      </c>
      <c r="E319" t="s">
        <v>236</v>
      </c>
      <c r="F319" t="s">
        <v>239</v>
      </c>
      <c r="G319" t="s">
        <v>233</v>
      </c>
      <c r="H319" t="s">
        <v>234</v>
      </c>
      <c r="I319" t="s">
        <v>230</v>
      </c>
      <c r="J319" t="str">
        <f t="shared" si="4"/>
        <v>110100111101</v>
      </c>
    </row>
    <row r="320" spans="1:10">
      <c r="A320">
        <v>319</v>
      </c>
      <c r="B320" t="s">
        <v>232</v>
      </c>
      <c r="C320" t="s">
        <v>229</v>
      </c>
      <c r="D320" t="s">
        <v>238</v>
      </c>
      <c r="E320" t="s">
        <v>236</v>
      </c>
      <c r="F320" t="s">
        <v>239</v>
      </c>
      <c r="G320" t="s">
        <v>233</v>
      </c>
      <c r="H320" t="s">
        <v>230</v>
      </c>
      <c r="I320" t="s">
        <v>235</v>
      </c>
      <c r="J320" t="str">
        <f t="shared" si="4"/>
        <v>110100111110</v>
      </c>
    </row>
    <row r="321" spans="1:10">
      <c r="A321">
        <v>320</v>
      </c>
      <c r="B321" t="s">
        <v>230</v>
      </c>
      <c r="C321" t="s">
        <v>229</v>
      </c>
      <c r="D321" t="s">
        <v>238</v>
      </c>
      <c r="E321" t="s">
        <v>236</v>
      </c>
      <c r="F321" t="s">
        <v>239</v>
      </c>
      <c r="G321" t="s">
        <v>231</v>
      </c>
      <c r="H321" t="s">
        <v>234</v>
      </c>
      <c r="I321" t="s">
        <v>235</v>
      </c>
      <c r="J321" t="str">
        <f t="shared" si="4"/>
        <v>110101001111</v>
      </c>
    </row>
    <row r="322" spans="1:10">
      <c r="A322">
        <v>321</v>
      </c>
      <c r="B322" t="s">
        <v>232</v>
      </c>
      <c r="C322" t="s">
        <v>229</v>
      </c>
      <c r="D322" t="s">
        <v>238</v>
      </c>
      <c r="E322" t="s">
        <v>236</v>
      </c>
      <c r="F322" t="s">
        <v>239</v>
      </c>
      <c r="G322" t="s">
        <v>231</v>
      </c>
      <c r="H322" t="s">
        <v>234</v>
      </c>
      <c r="I322" t="s">
        <v>235</v>
      </c>
      <c r="J322" t="str">
        <f t="shared" ref="J322:J385" si="5">COUNTIF($B322:$I322,"*A") &amp; COUNTIF($B322:$I322,"*B") &amp; COUNTIF($B322:$I322,"*C") &amp; COUNTIF($B322:$I322,"*D") &amp; COUNTIF($B322:$I322,"*E") &amp; COUNTIF($B322:$I322,"*F") &amp; COUNTIF($B322:$I322,"*G") &amp; COUNTIF($B322:$I322,"*H") &amp; COUNTIF($B322:$I322,"*I") &amp; COUNTIF($B322:$I322,"*J") &amp; COUNTIF($B322:$I322,"*K") &amp; COUNTIF($B322:$I322,"*L")</f>
        <v>110101010111</v>
      </c>
    </row>
    <row r="323" spans="1:10">
      <c r="A323">
        <v>322</v>
      </c>
      <c r="B323" t="s">
        <v>232</v>
      </c>
      <c r="C323" t="s">
        <v>230</v>
      </c>
      <c r="D323" t="s">
        <v>238</v>
      </c>
      <c r="E323" t="s">
        <v>236</v>
      </c>
      <c r="F323" t="s">
        <v>239</v>
      </c>
      <c r="G323" t="s">
        <v>231</v>
      </c>
      <c r="H323" t="s">
        <v>234</v>
      </c>
      <c r="I323" t="s">
        <v>235</v>
      </c>
      <c r="J323" t="str">
        <f t="shared" si="5"/>
        <v>110101011011</v>
      </c>
    </row>
    <row r="324" spans="1:10">
      <c r="A324">
        <v>323</v>
      </c>
      <c r="B324" t="s">
        <v>232</v>
      </c>
      <c r="C324" t="s">
        <v>229</v>
      </c>
      <c r="D324" t="s">
        <v>238</v>
      </c>
      <c r="E324" t="s">
        <v>236</v>
      </c>
      <c r="F324" t="s">
        <v>239</v>
      </c>
      <c r="G324" t="s">
        <v>231</v>
      </c>
      <c r="H324" t="s">
        <v>234</v>
      </c>
      <c r="I324" t="s">
        <v>230</v>
      </c>
      <c r="J324" t="str">
        <f t="shared" si="5"/>
        <v>110101011101</v>
      </c>
    </row>
    <row r="325" spans="1:10">
      <c r="A325">
        <v>324</v>
      </c>
      <c r="B325" t="s">
        <v>232</v>
      </c>
      <c r="C325" t="s">
        <v>229</v>
      </c>
      <c r="D325" t="s">
        <v>238</v>
      </c>
      <c r="E325" t="s">
        <v>236</v>
      </c>
      <c r="F325" t="s">
        <v>239</v>
      </c>
      <c r="G325" t="s">
        <v>231</v>
      </c>
      <c r="H325" t="s">
        <v>230</v>
      </c>
      <c r="I325" t="s">
        <v>235</v>
      </c>
      <c r="J325" t="str">
        <f t="shared" si="5"/>
        <v>110101011110</v>
      </c>
    </row>
    <row r="326" spans="1:10">
      <c r="A326">
        <v>325</v>
      </c>
      <c r="B326" t="s">
        <v>231</v>
      </c>
      <c r="C326" t="s">
        <v>229</v>
      </c>
      <c r="D326" t="s">
        <v>238</v>
      </c>
      <c r="E326" t="s">
        <v>236</v>
      </c>
      <c r="F326" t="s">
        <v>239</v>
      </c>
      <c r="G326" t="s">
        <v>233</v>
      </c>
      <c r="H326" t="s">
        <v>234</v>
      </c>
      <c r="I326" t="s">
        <v>235</v>
      </c>
      <c r="J326" t="str">
        <f t="shared" si="5"/>
        <v>110101100111</v>
      </c>
    </row>
    <row r="327" spans="1:10">
      <c r="A327">
        <v>326</v>
      </c>
      <c r="B327" t="s">
        <v>230</v>
      </c>
      <c r="C327" t="s">
        <v>233</v>
      </c>
      <c r="D327" t="s">
        <v>238</v>
      </c>
      <c r="E327" t="s">
        <v>236</v>
      </c>
      <c r="F327" t="s">
        <v>239</v>
      </c>
      <c r="G327" t="s">
        <v>231</v>
      </c>
      <c r="H327" t="s">
        <v>234</v>
      </c>
      <c r="I327" t="s">
        <v>235</v>
      </c>
      <c r="J327" t="str">
        <f t="shared" si="5"/>
        <v>110101101011</v>
      </c>
    </row>
    <row r="328" spans="1:10">
      <c r="A328">
        <v>327</v>
      </c>
      <c r="B328" t="s">
        <v>231</v>
      </c>
      <c r="C328" t="s">
        <v>229</v>
      </c>
      <c r="D328" t="s">
        <v>238</v>
      </c>
      <c r="E328" t="s">
        <v>236</v>
      </c>
      <c r="F328" t="s">
        <v>239</v>
      </c>
      <c r="G328" t="s">
        <v>233</v>
      </c>
      <c r="H328" t="s">
        <v>234</v>
      </c>
      <c r="I328" t="s">
        <v>230</v>
      </c>
      <c r="J328" t="str">
        <f t="shared" si="5"/>
        <v>110101101101</v>
      </c>
    </row>
    <row r="329" spans="1:10">
      <c r="A329">
        <v>328</v>
      </c>
      <c r="B329" t="s">
        <v>231</v>
      </c>
      <c r="C329" t="s">
        <v>229</v>
      </c>
      <c r="D329" t="s">
        <v>238</v>
      </c>
      <c r="E329" t="s">
        <v>236</v>
      </c>
      <c r="F329" t="s">
        <v>239</v>
      </c>
      <c r="G329" t="s">
        <v>233</v>
      </c>
      <c r="H329" t="s">
        <v>230</v>
      </c>
      <c r="I329" t="s">
        <v>235</v>
      </c>
      <c r="J329" t="str">
        <f t="shared" si="5"/>
        <v>110101101110</v>
      </c>
    </row>
    <row r="330" spans="1:10">
      <c r="A330">
        <v>329</v>
      </c>
      <c r="B330" t="s">
        <v>232</v>
      </c>
      <c r="C330" t="s">
        <v>233</v>
      </c>
      <c r="D330" t="s">
        <v>238</v>
      </c>
      <c r="E330" t="s">
        <v>236</v>
      </c>
      <c r="F330" t="s">
        <v>239</v>
      </c>
      <c r="G330" t="s">
        <v>231</v>
      </c>
      <c r="H330" t="s">
        <v>234</v>
      </c>
      <c r="I330" t="s">
        <v>235</v>
      </c>
      <c r="J330" t="str">
        <f t="shared" si="5"/>
        <v>110101110011</v>
      </c>
    </row>
    <row r="331" spans="1:10">
      <c r="A331">
        <v>330</v>
      </c>
      <c r="B331" t="s">
        <v>232</v>
      </c>
      <c r="C331" t="s">
        <v>233</v>
      </c>
      <c r="D331" t="s">
        <v>238</v>
      </c>
      <c r="E331" t="s">
        <v>236</v>
      </c>
      <c r="F331" t="s">
        <v>239</v>
      </c>
      <c r="G331" t="s">
        <v>231</v>
      </c>
      <c r="H331" t="s">
        <v>234</v>
      </c>
      <c r="I331" t="s">
        <v>229</v>
      </c>
      <c r="J331" t="str">
        <f t="shared" si="5"/>
        <v>110101110101</v>
      </c>
    </row>
    <row r="332" spans="1:10">
      <c r="A332">
        <v>331</v>
      </c>
      <c r="B332" t="s">
        <v>232</v>
      </c>
      <c r="C332" t="s">
        <v>233</v>
      </c>
      <c r="D332" t="s">
        <v>238</v>
      </c>
      <c r="E332" t="s">
        <v>236</v>
      </c>
      <c r="F332" t="s">
        <v>239</v>
      </c>
      <c r="G332" t="s">
        <v>231</v>
      </c>
      <c r="H332" t="s">
        <v>229</v>
      </c>
      <c r="I332" t="s">
        <v>235</v>
      </c>
      <c r="J332" t="str">
        <f t="shared" si="5"/>
        <v>110101110110</v>
      </c>
    </row>
    <row r="333" spans="1:10">
      <c r="A333">
        <v>332</v>
      </c>
      <c r="B333" t="s">
        <v>232</v>
      </c>
      <c r="C333" t="s">
        <v>233</v>
      </c>
      <c r="D333" t="s">
        <v>238</v>
      </c>
      <c r="E333" t="s">
        <v>236</v>
      </c>
      <c r="F333" t="s">
        <v>239</v>
      </c>
      <c r="G333" t="s">
        <v>231</v>
      </c>
      <c r="H333" t="s">
        <v>234</v>
      </c>
      <c r="I333" t="s">
        <v>230</v>
      </c>
      <c r="J333" t="str">
        <f t="shared" si="5"/>
        <v>110101111001</v>
      </c>
    </row>
    <row r="334" spans="1:10">
      <c r="A334">
        <v>333</v>
      </c>
      <c r="B334" t="s">
        <v>232</v>
      </c>
      <c r="C334" t="s">
        <v>233</v>
      </c>
      <c r="D334" t="s">
        <v>238</v>
      </c>
      <c r="E334" t="s">
        <v>236</v>
      </c>
      <c r="F334" t="s">
        <v>239</v>
      </c>
      <c r="G334" t="s">
        <v>231</v>
      </c>
      <c r="H334" t="s">
        <v>230</v>
      </c>
      <c r="I334" t="s">
        <v>235</v>
      </c>
      <c r="J334" t="str">
        <f t="shared" si="5"/>
        <v>110101111010</v>
      </c>
    </row>
    <row r="335" spans="1:10">
      <c r="A335">
        <v>334</v>
      </c>
      <c r="B335" t="s">
        <v>232</v>
      </c>
      <c r="C335" t="s">
        <v>233</v>
      </c>
      <c r="D335" t="s">
        <v>238</v>
      </c>
      <c r="E335" t="s">
        <v>236</v>
      </c>
      <c r="F335" t="s">
        <v>239</v>
      </c>
      <c r="G335" t="s">
        <v>231</v>
      </c>
      <c r="H335" t="s">
        <v>230</v>
      </c>
      <c r="I335" t="s">
        <v>229</v>
      </c>
      <c r="J335" t="str">
        <f t="shared" si="5"/>
        <v>110101111100</v>
      </c>
    </row>
    <row r="336" spans="1:10">
      <c r="A336">
        <v>335</v>
      </c>
      <c r="B336" t="s">
        <v>228</v>
      </c>
      <c r="C336" t="s">
        <v>229</v>
      </c>
      <c r="D336" t="s">
        <v>238</v>
      </c>
      <c r="E336" t="s">
        <v>239</v>
      </c>
      <c r="F336" t="s">
        <v>230</v>
      </c>
      <c r="G336" t="s">
        <v>236</v>
      </c>
      <c r="H336" t="s">
        <v>234</v>
      </c>
      <c r="I336" t="s">
        <v>235</v>
      </c>
      <c r="J336" t="str">
        <f t="shared" si="5"/>
        <v>110110001111</v>
      </c>
    </row>
    <row r="337" spans="1:10">
      <c r="A337">
        <v>336</v>
      </c>
      <c r="B337" t="s">
        <v>228</v>
      </c>
      <c r="C337" t="s">
        <v>229</v>
      </c>
      <c r="D337" t="s">
        <v>238</v>
      </c>
      <c r="E337" t="s">
        <v>236</v>
      </c>
      <c r="F337" t="s">
        <v>239</v>
      </c>
      <c r="G337" t="s">
        <v>232</v>
      </c>
      <c r="H337" t="s">
        <v>234</v>
      </c>
      <c r="I337" t="s">
        <v>235</v>
      </c>
      <c r="J337" t="str">
        <f t="shared" si="5"/>
        <v>110110010111</v>
      </c>
    </row>
    <row r="338" spans="1:10">
      <c r="A338">
        <v>337</v>
      </c>
      <c r="B338" t="s">
        <v>228</v>
      </c>
      <c r="C338" t="s">
        <v>230</v>
      </c>
      <c r="D338" t="s">
        <v>238</v>
      </c>
      <c r="E338" t="s">
        <v>236</v>
      </c>
      <c r="F338" t="s">
        <v>239</v>
      </c>
      <c r="G338" t="s">
        <v>232</v>
      </c>
      <c r="H338" t="s">
        <v>234</v>
      </c>
      <c r="I338" t="s">
        <v>235</v>
      </c>
      <c r="J338" t="str">
        <f t="shared" si="5"/>
        <v>110110011011</v>
      </c>
    </row>
    <row r="339" spans="1:10">
      <c r="A339">
        <v>338</v>
      </c>
      <c r="B339" t="s">
        <v>228</v>
      </c>
      <c r="C339" t="s">
        <v>229</v>
      </c>
      <c r="D339" t="s">
        <v>238</v>
      </c>
      <c r="E339" t="s">
        <v>236</v>
      </c>
      <c r="F339" t="s">
        <v>239</v>
      </c>
      <c r="G339" t="s">
        <v>232</v>
      </c>
      <c r="H339" t="s">
        <v>234</v>
      </c>
      <c r="I339" t="s">
        <v>230</v>
      </c>
      <c r="J339" t="str">
        <f t="shared" si="5"/>
        <v>110110011101</v>
      </c>
    </row>
    <row r="340" spans="1:10">
      <c r="A340">
        <v>339</v>
      </c>
      <c r="B340" t="s">
        <v>228</v>
      </c>
      <c r="C340" t="s">
        <v>229</v>
      </c>
      <c r="D340" t="s">
        <v>238</v>
      </c>
      <c r="E340" t="s">
        <v>236</v>
      </c>
      <c r="F340" t="s">
        <v>239</v>
      </c>
      <c r="G340" t="s">
        <v>232</v>
      </c>
      <c r="H340" t="s">
        <v>230</v>
      </c>
      <c r="I340" t="s">
        <v>235</v>
      </c>
      <c r="J340" t="str">
        <f t="shared" si="5"/>
        <v>110110011110</v>
      </c>
    </row>
    <row r="341" spans="1:10">
      <c r="A341">
        <v>340</v>
      </c>
      <c r="B341" t="s">
        <v>228</v>
      </c>
      <c r="C341" t="s">
        <v>229</v>
      </c>
      <c r="D341" t="s">
        <v>238</v>
      </c>
      <c r="E341" t="s">
        <v>236</v>
      </c>
      <c r="F341" t="s">
        <v>239</v>
      </c>
      <c r="G341" t="s">
        <v>233</v>
      </c>
      <c r="H341" t="s">
        <v>234</v>
      </c>
      <c r="I341" t="s">
        <v>235</v>
      </c>
      <c r="J341" t="str">
        <f t="shared" si="5"/>
        <v>110110100111</v>
      </c>
    </row>
    <row r="342" spans="1:10">
      <c r="A342">
        <v>341</v>
      </c>
      <c r="B342" t="s">
        <v>228</v>
      </c>
      <c r="C342" t="s">
        <v>233</v>
      </c>
      <c r="D342" t="s">
        <v>238</v>
      </c>
      <c r="E342" t="s">
        <v>239</v>
      </c>
      <c r="F342" t="s">
        <v>230</v>
      </c>
      <c r="G342" t="s">
        <v>236</v>
      </c>
      <c r="H342" t="s">
        <v>234</v>
      </c>
      <c r="I342" t="s">
        <v>235</v>
      </c>
      <c r="J342" t="str">
        <f t="shared" si="5"/>
        <v>110110101011</v>
      </c>
    </row>
    <row r="343" spans="1:10">
      <c r="A343">
        <v>342</v>
      </c>
      <c r="B343" t="s">
        <v>228</v>
      </c>
      <c r="C343" t="s">
        <v>229</v>
      </c>
      <c r="D343" t="s">
        <v>238</v>
      </c>
      <c r="E343" t="s">
        <v>236</v>
      </c>
      <c r="F343" t="s">
        <v>239</v>
      </c>
      <c r="G343" t="s">
        <v>233</v>
      </c>
      <c r="H343" t="s">
        <v>234</v>
      </c>
      <c r="I343" t="s">
        <v>230</v>
      </c>
      <c r="J343" t="str">
        <f t="shared" si="5"/>
        <v>110110101101</v>
      </c>
    </row>
    <row r="344" spans="1:10">
      <c r="A344">
        <v>343</v>
      </c>
      <c r="B344" t="s">
        <v>228</v>
      </c>
      <c r="C344" t="s">
        <v>229</v>
      </c>
      <c r="D344" t="s">
        <v>238</v>
      </c>
      <c r="E344" t="s">
        <v>236</v>
      </c>
      <c r="F344" t="s">
        <v>239</v>
      </c>
      <c r="G344" t="s">
        <v>233</v>
      </c>
      <c r="H344" t="s">
        <v>230</v>
      </c>
      <c r="I344" t="s">
        <v>235</v>
      </c>
      <c r="J344" t="str">
        <f t="shared" si="5"/>
        <v>110110101110</v>
      </c>
    </row>
    <row r="345" spans="1:10">
      <c r="A345">
        <v>344</v>
      </c>
      <c r="B345" t="s">
        <v>228</v>
      </c>
      <c r="C345" t="s">
        <v>233</v>
      </c>
      <c r="D345" t="s">
        <v>238</v>
      </c>
      <c r="E345" t="s">
        <v>236</v>
      </c>
      <c r="F345" t="s">
        <v>239</v>
      </c>
      <c r="G345" t="s">
        <v>232</v>
      </c>
      <c r="H345" t="s">
        <v>234</v>
      </c>
      <c r="I345" t="s">
        <v>235</v>
      </c>
      <c r="J345" t="str">
        <f t="shared" si="5"/>
        <v>110110110011</v>
      </c>
    </row>
    <row r="346" spans="1:10">
      <c r="A346">
        <v>345</v>
      </c>
      <c r="B346" t="s">
        <v>232</v>
      </c>
      <c r="C346" t="s">
        <v>229</v>
      </c>
      <c r="D346" t="s">
        <v>238</v>
      </c>
      <c r="E346" t="s">
        <v>236</v>
      </c>
      <c r="F346" t="s">
        <v>239</v>
      </c>
      <c r="G346" t="s">
        <v>233</v>
      </c>
      <c r="H346" t="s">
        <v>234</v>
      </c>
      <c r="I346" t="s">
        <v>228</v>
      </c>
      <c r="J346" t="str">
        <f t="shared" si="5"/>
        <v>110110110101</v>
      </c>
    </row>
    <row r="347" spans="1:10">
      <c r="A347">
        <v>346</v>
      </c>
      <c r="B347" t="s">
        <v>232</v>
      </c>
      <c r="C347" t="s">
        <v>229</v>
      </c>
      <c r="D347" t="s">
        <v>238</v>
      </c>
      <c r="E347" t="s">
        <v>236</v>
      </c>
      <c r="F347" t="s">
        <v>239</v>
      </c>
      <c r="G347" t="s">
        <v>233</v>
      </c>
      <c r="H347" t="s">
        <v>228</v>
      </c>
      <c r="I347" t="s">
        <v>235</v>
      </c>
      <c r="J347" t="str">
        <f t="shared" si="5"/>
        <v>110110110110</v>
      </c>
    </row>
    <row r="348" spans="1:10">
      <c r="A348">
        <v>347</v>
      </c>
      <c r="B348" t="s">
        <v>228</v>
      </c>
      <c r="C348" t="s">
        <v>233</v>
      </c>
      <c r="D348" t="s">
        <v>238</v>
      </c>
      <c r="E348" t="s">
        <v>236</v>
      </c>
      <c r="F348" t="s">
        <v>239</v>
      </c>
      <c r="G348" t="s">
        <v>232</v>
      </c>
      <c r="H348" t="s">
        <v>234</v>
      </c>
      <c r="I348" t="s">
        <v>230</v>
      </c>
      <c r="J348" t="str">
        <f t="shared" si="5"/>
        <v>110110111001</v>
      </c>
    </row>
    <row r="349" spans="1:10">
      <c r="A349">
        <v>348</v>
      </c>
      <c r="B349" t="s">
        <v>228</v>
      </c>
      <c r="C349" t="s">
        <v>233</v>
      </c>
      <c r="D349" t="s">
        <v>238</v>
      </c>
      <c r="E349" t="s">
        <v>236</v>
      </c>
      <c r="F349" t="s">
        <v>239</v>
      </c>
      <c r="G349" t="s">
        <v>232</v>
      </c>
      <c r="H349" t="s">
        <v>230</v>
      </c>
      <c r="I349" t="s">
        <v>235</v>
      </c>
      <c r="J349" t="str">
        <f t="shared" si="5"/>
        <v>110110111010</v>
      </c>
    </row>
    <row r="350" spans="1:10">
      <c r="A350">
        <v>349</v>
      </c>
      <c r="B350" t="s">
        <v>232</v>
      </c>
      <c r="C350" t="s">
        <v>229</v>
      </c>
      <c r="D350" t="s">
        <v>238</v>
      </c>
      <c r="E350" t="s">
        <v>236</v>
      </c>
      <c r="F350" t="s">
        <v>239</v>
      </c>
      <c r="G350" t="s">
        <v>233</v>
      </c>
      <c r="H350" t="s">
        <v>228</v>
      </c>
      <c r="I350" t="s">
        <v>230</v>
      </c>
      <c r="J350" t="str">
        <f t="shared" si="5"/>
        <v>110110111100</v>
      </c>
    </row>
    <row r="351" spans="1:10">
      <c r="A351">
        <v>350</v>
      </c>
      <c r="B351" t="s">
        <v>228</v>
      </c>
      <c r="C351" t="s">
        <v>229</v>
      </c>
      <c r="D351" t="s">
        <v>238</v>
      </c>
      <c r="E351" t="s">
        <v>236</v>
      </c>
      <c r="F351" t="s">
        <v>239</v>
      </c>
      <c r="G351" t="s">
        <v>231</v>
      </c>
      <c r="H351" t="s">
        <v>234</v>
      </c>
      <c r="I351" t="s">
        <v>235</v>
      </c>
      <c r="J351" t="str">
        <f t="shared" si="5"/>
        <v>110111000111</v>
      </c>
    </row>
    <row r="352" spans="1:10">
      <c r="A352">
        <v>351</v>
      </c>
      <c r="B352" t="s">
        <v>228</v>
      </c>
      <c r="C352" t="s">
        <v>230</v>
      </c>
      <c r="D352" t="s">
        <v>238</v>
      </c>
      <c r="E352" t="s">
        <v>236</v>
      </c>
      <c r="F352" t="s">
        <v>239</v>
      </c>
      <c r="G352" t="s">
        <v>231</v>
      </c>
      <c r="H352" t="s">
        <v>234</v>
      </c>
      <c r="I352" t="s">
        <v>235</v>
      </c>
      <c r="J352" t="str">
        <f t="shared" si="5"/>
        <v>110111001011</v>
      </c>
    </row>
    <row r="353" spans="1:10">
      <c r="A353">
        <v>352</v>
      </c>
      <c r="B353" t="s">
        <v>228</v>
      </c>
      <c r="C353" t="s">
        <v>229</v>
      </c>
      <c r="D353" t="s">
        <v>238</v>
      </c>
      <c r="E353" t="s">
        <v>236</v>
      </c>
      <c r="F353" t="s">
        <v>239</v>
      </c>
      <c r="G353" t="s">
        <v>231</v>
      </c>
      <c r="H353" t="s">
        <v>234</v>
      </c>
      <c r="I353" t="s">
        <v>230</v>
      </c>
      <c r="J353" t="str">
        <f t="shared" si="5"/>
        <v>110111001101</v>
      </c>
    </row>
    <row r="354" spans="1:10">
      <c r="A354">
        <v>353</v>
      </c>
      <c r="B354" t="s">
        <v>228</v>
      </c>
      <c r="C354" t="s">
        <v>229</v>
      </c>
      <c r="D354" t="s">
        <v>238</v>
      </c>
      <c r="E354" t="s">
        <v>236</v>
      </c>
      <c r="F354" t="s">
        <v>239</v>
      </c>
      <c r="G354" t="s">
        <v>231</v>
      </c>
      <c r="H354" t="s">
        <v>230</v>
      </c>
      <c r="I354" t="s">
        <v>235</v>
      </c>
      <c r="J354" t="str">
        <f t="shared" si="5"/>
        <v>110111001110</v>
      </c>
    </row>
    <row r="355" spans="1:10">
      <c r="A355">
        <v>354</v>
      </c>
      <c r="B355" t="s">
        <v>232</v>
      </c>
      <c r="C355" t="s">
        <v>228</v>
      </c>
      <c r="D355" t="s">
        <v>238</v>
      </c>
      <c r="E355" t="s">
        <v>236</v>
      </c>
      <c r="F355" t="s">
        <v>239</v>
      </c>
      <c r="G355" t="s">
        <v>231</v>
      </c>
      <c r="H355" t="s">
        <v>234</v>
      </c>
      <c r="I355" t="s">
        <v>235</v>
      </c>
      <c r="J355" t="str">
        <f t="shared" si="5"/>
        <v>110111010011</v>
      </c>
    </row>
    <row r="356" spans="1:10">
      <c r="A356">
        <v>355</v>
      </c>
      <c r="B356" t="s">
        <v>232</v>
      </c>
      <c r="C356" t="s">
        <v>229</v>
      </c>
      <c r="D356" t="s">
        <v>238</v>
      </c>
      <c r="E356" t="s">
        <v>236</v>
      </c>
      <c r="F356" t="s">
        <v>239</v>
      </c>
      <c r="G356" t="s">
        <v>231</v>
      </c>
      <c r="H356" t="s">
        <v>234</v>
      </c>
      <c r="I356" t="s">
        <v>228</v>
      </c>
      <c r="J356" t="str">
        <f t="shared" si="5"/>
        <v>110111010101</v>
      </c>
    </row>
    <row r="357" spans="1:10">
      <c r="A357">
        <v>356</v>
      </c>
      <c r="B357" t="s">
        <v>232</v>
      </c>
      <c r="C357" t="s">
        <v>229</v>
      </c>
      <c r="D357" t="s">
        <v>238</v>
      </c>
      <c r="E357" t="s">
        <v>236</v>
      </c>
      <c r="F357" t="s">
        <v>239</v>
      </c>
      <c r="G357" t="s">
        <v>231</v>
      </c>
      <c r="H357" t="s">
        <v>228</v>
      </c>
      <c r="I357" t="s">
        <v>235</v>
      </c>
      <c r="J357" t="str">
        <f t="shared" si="5"/>
        <v>110111010110</v>
      </c>
    </row>
    <row r="358" spans="1:10">
      <c r="A358">
        <v>357</v>
      </c>
      <c r="B358" t="s">
        <v>232</v>
      </c>
      <c r="C358" t="s">
        <v>228</v>
      </c>
      <c r="D358" t="s">
        <v>238</v>
      </c>
      <c r="E358" t="s">
        <v>236</v>
      </c>
      <c r="F358" t="s">
        <v>239</v>
      </c>
      <c r="G358" t="s">
        <v>231</v>
      </c>
      <c r="H358" t="s">
        <v>234</v>
      </c>
      <c r="I358" t="s">
        <v>230</v>
      </c>
      <c r="J358" t="str">
        <f t="shared" si="5"/>
        <v>110111011001</v>
      </c>
    </row>
    <row r="359" spans="1:10">
      <c r="A359">
        <v>358</v>
      </c>
      <c r="B359" t="s">
        <v>232</v>
      </c>
      <c r="C359" t="s">
        <v>228</v>
      </c>
      <c r="D359" t="s">
        <v>238</v>
      </c>
      <c r="E359" t="s">
        <v>236</v>
      </c>
      <c r="F359" t="s">
        <v>239</v>
      </c>
      <c r="G359" t="s">
        <v>231</v>
      </c>
      <c r="H359" t="s">
        <v>230</v>
      </c>
      <c r="I359" t="s">
        <v>235</v>
      </c>
      <c r="J359" t="str">
        <f t="shared" si="5"/>
        <v>110111011010</v>
      </c>
    </row>
    <row r="360" spans="1:10">
      <c r="A360">
        <v>359</v>
      </c>
      <c r="B360" t="s">
        <v>232</v>
      </c>
      <c r="C360" t="s">
        <v>229</v>
      </c>
      <c r="D360" t="s">
        <v>238</v>
      </c>
      <c r="E360" t="s">
        <v>236</v>
      </c>
      <c r="F360" t="s">
        <v>239</v>
      </c>
      <c r="G360" t="s">
        <v>231</v>
      </c>
      <c r="H360" t="s">
        <v>228</v>
      </c>
      <c r="I360" t="s">
        <v>230</v>
      </c>
      <c r="J360" t="str">
        <f t="shared" si="5"/>
        <v>110111011100</v>
      </c>
    </row>
    <row r="361" spans="1:10">
      <c r="A361">
        <v>360</v>
      </c>
      <c r="B361" t="s">
        <v>228</v>
      </c>
      <c r="C361" t="s">
        <v>233</v>
      </c>
      <c r="D361" t="s">
        <v>238</v>
      </c>
      <c r="E361" t="s">
        <v>236</v>
      </c>
      <c r="F361" t="s">
        <v>239</v>
      </c>
      <c r="G361" t="s">
        <v>231</v>
      </c>
      <c r="H361" t="s">
        <v>234</v>
      </c>
      <c r="I361" t="s">
        <v>235</v>
      </c>
      <c r="J361" t="str">
        <f t="shared" si="5"/>
        <v>110111100011</v>
      </c>
    </row>
    <row r="362" spans="1:10">
      <c r="A362">
        <v>361</v>
      </c>
      <c r="B362" t="s">
        <v>228</v>
      </c>
      <c r="C362" t="s">
        <v>233</v>
      </c>
      <c r="D362" t="s">
        <v>238</v>
      </c>
      <c r="E362" t="s">
        <v>236</v>
      </c>
      <c r="F362" t="s">
        <v>239</v>
      </c>
      <c r="G362" t="s">
        <v>231</v>
      </c>
      <c r="H362" t="s">
        <v>234</v>
      </c>
      <c r="I362" t="s">
        <v>229</v>
      </c>
      <c r="J362" t="str">
        <f t="shared" si="5"/>
        <v>110111100101</v>
      </c>
    </row>
    <row r="363" spans="1:10">
      <c r="A363">
        <v>362</v>
      </c>
      <c r="B363" t="s">
        <v>228</v>
      </c>
      <c r="C363" t="s">
        <v>233</v>
      </c>
      <c r="D363" t="s">
        <v>238</v>
      </c>
      <c r="E363" t="s">
        <v>236</v>
      </c>
      <c r="F363" t="s">
        <v>239</v>
      </c>
      <c r="G363" t="s">
        <v>231</v>
      </c>
      <c r="H363" t="s">
        <v>229</v>
      </c>
      <c r="I363" t="s">
        <v>235</v>
      </c>
      <c r="J363" t="str">
        <f t="shared" si="5"/>
        <v>110111100110</v>
      </c>
    </row>
    <row r="364" spans="1:10">
      <c r="A364">
        <v>363</v>
      </c>
      <c r="B364" t="s">
        <v>228</v>
      </c>
      <c r="C364" t="s">
        <v>233</v>
      </c>
      <c r="D364" t="s">
        <v>238</v>
      </c>
      <c r="E364" t="s">
        <v>236</v>
      </c>
      <c r="F364" t="s">
        <v>239</v>
      </c>
      <c r="G364" t="s">
        <v>231</v>
      </c>
      <c r="H364" t="s">
        <v>234</v>
      </c>
      <c r="I364" t="s">
        <v>230</v>
      </c>
      <c r="J364" t="str">
        <f t="shared" si="5"/>
        <v>110111101001</v>
      </c>
    </row>
    <row r="365" spans="1:10">
      <c r="A365">
        <v>364</v>
      </c>
      <c r="B365" t="s">
        <v>228</v>
      </c>
      <c r="C365" t="s">
        <v>233</v>
      </c>
      <c r="D365" t="s">
        <v>238</v>
      </c>
      <c r="E365" t="s">
        <v>236</v>
      </c>
      <c r="F365" t="s">
        <v>239</v>
      </c>
      <c r="G365" t="s">
        <v>231</v>
      </c>
      <c r="H365" t="s">
        <v>230</v>
      </c>
      <c r="I365" t="s">
        <v>235</v>
      </c>
      <c r="J365" t="str">
        <f t="shared" si="5"/>
        <v>110111101010</v>
      </c>
    </row>
    <row r="366" spans="1:10">
      <c r="A366">
        <v>365</v>
      </c>
      <c r="B366" t="s">
        <v>228</v>
      </c>
      <c r="C366" t="s">
        <v>233</v>
      </c>
      <c r="D366" t="s">
        <v>238</v>
      </c>
      <c r="E366" t="s">
        <v>236</v>
      </c>
      <c r="F366" t="s">
        <v>239</v>
      </c>
      <c r="G366" t="s">
        <v>231</v>
      </c>
      <c r="H366" t="s">
        <v>230</v>
      </c>
      <c r="I366" t="s">
        <v>229</v>
      </c>
      <c r="J366" t="str">
        <f t="shared" si="5"/>
        <v>110111101100</v>
      </c>
    </row>
    <row r="367" spans="1:10">
      <c r="A367">
        <v>366</v>
      </c>
      <c r="B367" t="s">
        <v>232</v>
      </c>
      <c r="C367" t="s">
        <v>233</v>
      </c>
      <c r="D367" t="s">
        <v>238</v>
      </c>
      <c r="E367" t="s">
        <v>236</v>
      </c>
      <c r="F367" t="s">
        <v>239</v>
      </c>
      <c r="G367" t="s">
        <v>231</v>
      </c>
      <c r="H367" t="s">
        <v>234</v>
      </c>
      <c r="I367" t="s">
        <v>228</v>
      </c>
      <c r="J367" t="str">
        <f t="shared" si="5"/>
        <v>110111110001</v>
      </c>
    </row>
    <row r="368" spans="1:10">
      <c r="A368">
        <v>367</v>
      </c>
      <c r="B368" t="s">
        <v>232</v>
      </c>
      <c r="C368" t="s">
        <v>233</v>
      </c>
      <c r="D368" t="s">
        <v>238</v>
      </c>
      <c r="E368" t="s">
        <v>236</v>
      </c>
      <c r="F368" t="s">
        <v>239</v>
      </c>
      <c r="G368" t="s">
        <v>231</v>
      </c>
      <c r="H368" t="s">
        <v>228</v>
      </c>
      <c r="I368" t="s">
        <v>235</v>
      </c>
      <c r="J368" t="str">
        <f t="shared" si="5"/>
        <v>110111110010</v>
      </c>
    </row>
    <row r="369" spans="1:10">
      <c r="A369">
        <v>368</v>
      </c>
      <c r="B369" t="s">
        <v>232</v>
      </c>
      <c r="C369" t="s">
        <v>233</v>
      </c>
      <c r="D369" t="s">
        <v>238</v>
      </c>
      <c r="E369" t="s">
        <v>236</v>
      </c>
      <c r="F369" t="s">
        <v>239</v>
      </c>
      <c r="G369" t="s">
        <v>231</v>
      </c>
      <c r="H369" t="s">
        <v>228</v>
      </c>
      <c r="I369" t="s">
        <v>229</v>
      </c>
      <c r="J369" t="str">
        <f t="shared" si="5"/>
        <v>110111110100</v>
      </c>
    </row>
    <row r="370" spans="1:10">
      <c r="A370">
        <v>369</v>
      </c>
      <c r="B370" t="s">
        <v>232</v>
      </c>
      <c r="C370" t="s">
        <v>233</v>
      </c>
      <c r="D370" t="s">
        <v>238</v>
      </c>
      <c r="E370" t="s">
        <v>236</v>
      </c>
      <c r="F370" t="s">
        <v>239</v>
      </c>
      <c r="G370" t="s">
        <v>231</v>
      </c>
      <c r="H370" t="s">
        <v>228</v>
      </c>
      <c r="I370" t="s">
        <v>230</v>
      </c>
      <c r="J370" t="str">
        <f t="shared" si="5"/>
        <v>110111111000</v>
      </c>
    </row>
    <row r="371" spans="1:10">
      <c r="A371">
        <v>370</v>
      </c>
      <c r="B371" t="s">
        <v>230</v>
      </c>
      <c r="C371" t="s">
        <v>229</v>
      </c>
      <c r="D371" t="s">
        <v>238</v>
      </c>
      <c r="E371" t="s">
        <v>237</v>
      </c>
      <c r="F371" t="s">
        <v>239</v>
      </c>
      <c r="G371" t="s">
        <v>232</v>
      </c>
      <c r="H371" t="s">
        <v>234</v>
      </c>
      <c r="I371" t="s">
        <v>235</v>
      </c>
      <c r="J371" t="str">
        <f t="shared" si="5"/>
        <v>111000011111</v>
      </c>
    </row>
    <row r="372" spans="1:10">
      <c r="A372">
        <v>371</v>
      </c>
      <c r="B372" t="s">
        <v>230</v>
      </c>
      <c r="C372" t="s">
        <v>229</v>
      </c>
      <c r="D372" t="s">
        <v>238</v>
      </c>
      <c r="E372" t="s">
        <v>237</v>
      </c>
      <c r="F372" t="s">
        <v>239</v>
      </c>
      <c r="G372" t="s">
        <v>233</v>
      </c>
      <c r="H372" t="s">
        <v>234</v>
      </c>
      <c r="I372" t="s">
        <v>235</v>
      </c>
      <c r="J372" t="str">
        <f t="shared" si="5"/>
        <v>111000101111</v>
      </c>
    </row>
    <row r="373" spans="1:10">
      <c r="A373">
        <v>372</v>
      </c>
      <c r="B373" t="s">
        <v>232</v>
      </c>
      <c r="C373" t="s">
        <v>229</v>
      </c>
      <c r="D373" t="s">
        <v>238</v>
      </c>
      <c r="E373" t="s">
        <v>237</v>
      </c>
      <c r="F373" t="s">
        <v>239</v>
      </c>
      <c r="G373" t="s">
        <v>233</v>
      </c>
      <c r="H373" t="s">
        <v>234</v>
      </c>
      <c r="I373" t="s">
        <v>235</v>
      </c>
      <c r="J373" t="str">
        <f t="shared" si="5"/>
        <v>111000110111</v>
      </c>
    </row>
    <row r="374" spans="1:10">
      <c r="A374">
        <v>373</v>
      </c>
      <c r="B374" t="s">
        <v>230</v>
      </c>
      <c r="C374" t="s">
        <v>233</v>
      </c>
      <c r="D374" t="s">
        <v>238</v>
      </c>
      <c r="E374" t="s">
        <v>237</v>
      </c>
      <c r="F374" t="s">
        <v>239</v>
      </c>
      <c r="G374" t="s">
        <v>232</v>
      </c>
      <c r="H374" t="s">
        <v>234</v>
      </c>
      <c r="I374" t="s">
        <v>235</v>
      </c>
      <c r="J374" t="str">
        <f t="shared" si="5"/>
        <v>111000111011</v>
      </c>
    </row>
    <row r="375" spans="1:10">
      <c r="A375">
        <v>374</v>
      </c>
      <c r="B375" t="s">
        <v>232</v>
      </c>
      <c r="C375" t="s">
        <v>229</v>
      </c>
      <c r="D375" t="s">
        <v>238</v>
      </c>
      <c r="E375" t="s">
        <v>237</v>
      </c>
      <c r="F375" t="s">
        <v>239</v>
      </c>
      <c r="G375" t="s">
        <v>233</v>
      </c>
      <c r="H375" t="s">
        <v>234</v>
      </c>
      <c r="I375" t="s">
        <v>230</v>
      </c>
      <c r="J375" t="str">
        <f t="shared" si="5"/>
        <v>111000111101</v>
      </c>
    </row>
    <row r="376" spans="1:10">
      <c r="A376">
        <v>375</v>
      </c>
      <c r="B376" t="s">
        <v>232</v>
      </c>
      <c r="C376" t="s">
        <v>229</v>
      </c>
      <c r="D376" t="s">
        <v>238</v>
      </c>
      <c r="E376" t="s">
        <v>237</v>
      </c>
      <c r="F376" t="s">
        <v>239</v>
      </c>
      <c r="G376" t="s">
        <v>233</v>
      </c>
      <c r="H376" t="s">
        <v>230</v>
      </c>
      <c r="I376" t="s">
        <v>235</v>
      </c>
      <c r="J376" t="str">
        <f t="shared" si="5"/>
        <v>111000111110</v>
      </c>
    </row>
    <row r="377" spans="1:10">
      <c r="A377">
        <v>376</v>
      </c>
      <c r="B377" t="s">
        <v>230</v>
      </c>
      <c r="C377" t="s">
        <v>229</v>
      </c>
      <c r="D377" t="s">
        <v>238</v>
      </c>
      <c r="E377" t="s">
        <v>237</v>
      </c>
      <c r="F377" t="s">
        <v>239</v>
      </c>
      <c r="G377" t="s">
        <v>231</v>
      </c>
      <c r="H377" t="s">
        <v>234</v>
      </c>
      <c r="I377" t="s">
        <v>235</v>
      </c>
      <c r="J377" t="str">
        <f t="shared" si="5"/>
        <v>111001001111</v>
      </c>
    </row>
    <row r="378" spans="1:10">
      <c r="A378">
        <v>377</v>
      </c>
      <c r="B378" t="s">
        <v>232</v>
      </c>
      <c r="C378" t="s">
        <v>229</v>
      </c>
      <c r="D378" t="s">
        <v>238</v>
      </c>
      <c r="E378" t="s">
        <v>237</v>
      </c>
      <c r="F378" t="s">
        <v>239</v>
      </c>
      <c r="G378" t="s">
        <v>231</v>
      </c>
      <c r="H378" t="s">
        <v>234</v>
      </c>
      <c r="I378" t="s">
        <v>235</v>
      </c>
      <c r="J378" t="str">
        <f t="shared" si="5"/>
        <v>111001010111</v>
      </c>
    </row>
    <row r="379" spans="1:10">
      <c r="A379">
        <v>378</v>
      </c>
      <c r="B379" t="s">
        <v>232</v>
      </c>
      <c r="C379" t="s">
        <v>230</v>
      </c>
      <c r="D379" t="s">
        <v>238</v>
      </c>
      <c r="E379" t="s">
        <v>237</v>
      </c>
      <c r="F379" t="s">
        <v>239</v>
      </c>
      <c r="G379" t="s">
        <v>231</v>
      </c>
      <c r="H379" t="s">
        <v>234</v>
      </c>
      <c r="I379" t="s">
        <v>235</v>
      </c>
      <c r="J379" t="str">
        <f t="shared" si="5"/>
        <v>111001011011</v>
      </c>
    </row>
    <row r="380" spans="1:10">
      <c r="A380">
        <v>379</v>
      </c>
      <c r="B380" t="s">
        <v>232</v>
      </c>
      <c r="C380" t="s">
        <v>229</v>
      </c>
      <c r="D380" t="s">
        <v>238</v>
      </c>
      <c r="E380" t="s">
        <v>237</v>
      </c>
      <c r="F380" t="s">
        <v>239</v>
      </c>
      <c r="G380" t="s">
        <v>231</v>
      </c>
      <c r="H380" t="s">
        <v>234</v>
      </c>
      <c r="I380" t="s">
        <v>230</v>
      </c>
      <c r="J380" t="str">
        <f t="shared" si="5"/>
        <v>111001011101</v>
      </c>
    </row>
    <row r="381" spans="1:10">
      <c r="A381">
        <v>380</v>
      </c>
      <c r="B381" t="s">
        <v>232</v>
      </c>
      <c r="C381" t="s">
        <v>229</v>
      </c>
      <c r="D381" t="s">
        <v>238</v>
      </c>
      <c r="E381" t="s">
        <v>237</v>
      </c>
      <c r="F381" t="s">
        <v>239</v>
      </c>
      <c r="G381" t="s">
        <v>231</v>
      </c>
      <c r="H381" t="s">
        <v>230</v>
      </c>
      <c r="I381" t="s">
        <v>235</v>
      </c>
      <c r="J381" t="str">
        <f t="shared" si="5"/>
        <v>111001011110</v>
      </c>
    </row>
    <row r="382" spans="1:10">
      <c r="A382">
        <v>381</v>
      </c>
      <c r="B382" t="s">
        <v>237</v>
      </c>
      <c r="C382" t="s">
        <v>229</v>
      </c>
      <c r="D382" t="s">
        <v>238</v>
      </c>
      <c r="E382" t="s">
        <v>231</v>
      </c>
      <c r="F382" t="s">
        <v>239</v>
      </c>
      <c r="G382" t="s">
        <v>233</v>
      </c>
      <c r="H382" t="s">
        <v>234</v>
      </c>
      <c r="I382" t="s">
        <v>235</v>
      </c>
      <c r="J382" t="str">
        <f t="shared" si="5"/>
        <v>111001100111</v>
      </c>
    </row>
    <row r="383" spans="1:10">
      <c r="A383">
        <v>382</v>
      </c>
      <c r="B383" t="s">
        <v>230</v>
      </c>
      <c r="C383" t="s">
        <v>233</v>
      </c>
      <c r="D383" t="s">
        <v>238</v>
      </c>
      <c r="E383" t="s">
        <v>237</v>
      </c>
      <c r="F383" t="s">
        <v>239</v>
      </c>
      <c r="G383" t="s">
        <v>231</v>
      </c>
      <c r="H383" t="s">
        <v>234</v>
      </c>
      <c r="I383" t="s">
        <v>235</v>
      </c>
      <c r="J383" t="str">
        <f t="shared" si="5"/>
        <v>111001101011</v>
      </c>
    </row>
    <row r="384" spans="1:10">
      <c r="A384">
        <v>383</v>
      </c>
      <c r="B384" t="s">
        <v>237</v>
      </c>
      <c r="C384" t="s">
        <v>229</v>
      </c>
      <c r="D384" t="s">
        <v>238</v>
      </c>
      <c r="E384" t="s">
        <v>231</v>
      </c>
      <c r="F384" t="s">
        <v>239</v>
      </c>
      <c r="G384" t="s">
        <v>233</v>
      </c>
      <c r="H384" t="s">
        <v>234</v>
      </c>
      <c r="I384" t="s">
        <v>230</v>
      </c>
      <c r="J384" t="str">
        <f t="shared" si="5"/>
        <v>111001101101</v>
      </c>
    </row>
    <row r="385" spans="1:10">
      <c r="A385">
        <v>384</v>
      </c>
      <c r="B385" t="s">
        <v>237</v>
      </c>
      <c r="C385" t="s">
        <v>229</v>
      </c>
      <c r="D385" t="s">
        <v>238</v>
      </c>
      <c r="E385" t="s">
        <v>231</v>
      </c>
      <c r="F385" t="s">
        <v>239</v>
      </c>
      <c r="G385" t="s">
        <v>233</v>
      </c>
      <c r="H385" t="s">
        <v>230</v>
      </c>
      <c r="I385" t="s">
        <v>235</v>
      </c>
      <c r="J385" t="str">
        <f t="shared" si="5"/>
        <v>111001101110</v>
      </c>
    </row>
    <row r="386" spans="1:10">
      <c r="A386">
        <v>385</v>
      </c>
      <c r="B386" t="s">
        <v>232</v>
      </c>
      <c r="C386" t="s">
        <v>233</v>
      </c>
      <c r="D386" t="s">
        <v>238</v>
      </c>
      <c r="E386" t="s">
        <v>237</v>
      </c>
      <c r="F386" t="s">
        <v>239</v>
      </c>
      <c r="G386" t="s">
        <v>231</v>
      </c>
      <c r="H386" t="s">
        <v>234</v>
      </c>
      <c r="I386" t="s">
        <v>235</v>
      </c>
      <c r="J386" t="str">
        <f t="shared" ref="J386:J449" si="6">COUNTIF($B386:$I386,"*A") &amp; COUNTIF($B386:$I386,"*B") &amp; COUNTIF($B386:$I386,"*C") &amp; COUNTIF($B386:$I386,"*D") &amp; COUNTIF($B386:$I386,"*E") &amp; COUNTIF($B386:$I386,"*F") &amp; COUNTIF($B386:$I386,"*G") &amp; COUNTIF($B386:$I386,"*H") &amp; COUNTIF($B386:$I386,"*I") &amp; COUNTIF($B386:$I386,"*J") &amp; COUNTIF($B386:$I386,"*K") &amp; COUNTIF($B386:$I386,"*L")</f>
        <v>111001110011</v>
      </c>
    </row>
    <row r="387" spans="1:10">
      <c r="A387">
        <v>386</v>
      </c>
      <c r="B387" t="s">
        <v>232</v>
      </c>
      <c r="C387" t="s">
        <v>233</v>
      </c>
      <c r="D387" t="s">
        <v>238</v>
      </c>
      <c r="E387" t="s">
        <v>237</v>
      </c>
      <c r="F387" t="s">
        <v>239</v>
      </c>
      <c r="G387" t="s">
        <v>231</v>
      </c>
      <c r="H387" t="s">
        <v>234</v>
      </c>
      <c r="I387" t="s">
        <v>229</v>
      </c>
      <c r="J387" t="str">
        <f t="shared" si="6"/>
        <v>111001110101</v>
      </c>
    </row>
    <row r="388" spans="1:10">
      <c r="A388">
        <v>387</v>
      </c>
      <c r="B388" t="s">
        <v>232</v>
      </c>
      <c r="C388" t="s">
        <v>233</v>
      </c>
      <c r="D388" t="s">
        <v>238</v>
      </c>
      <c r="E388" t="s">
        <v>237</v>
      </c>
      <c r="F388" t="s">
        <v>239</v>
      </c>
      <c r="G388" t="s">
        <v>231</v>
      </c>
      <c r="H388" t="s">
        <v>229</v>
      </c>
      <c r="I388" t="s">
        <v>235</v>
      </c>
      <c r="J388" t="str">
        <f t="shared" si="6"/>
        <v>111001110110</v>
      </c>
    </row>
    <row r="389" spans="1:10">
      <c r="A389">
        <v>388</v>
      </c>
      <c r="B389" t="s">
        <v>232</v>
      </c>
      <c r="C389" t="s">
        <v>233</v>
      </c>
      <c r="D389" t="s">
        <v>238</v>
      </c>
      <c r="E389" t="s">
        <v>237</v>
      </c>
      <c r="F389" t="s">
        <v>239</v>
      </c>
      <c r="G389" t="s">
        <v>231</v>
      </c>
      <c r="H389" t="s">
        <v>234</v>
      </c>
      <c r="I389" t="s">
        <v>230</v>
      </c>
      <c r="J389" t="str">
        <f t="shared" si="6"/>
        <v>111001111001</v>
      </c>
    </row>
    <row r="390" spans="1:10">
      <c r="A390">
        <v>389</v>
      </c>
      <c r="B390" t="s">
        <v>232</v>
      </c>
      <c r="C390" t="s">
        <v>233</v>
      </c>
      <c r="D390" t="s">
        <v>238</v>
      </c>
      <c r="E390" t="s">
        <v>237</v>
      </c>
      <c r="F390" t="s">
        <v>239</v>
      </c>
      <c r="G390" t="s">
        <v>231</v>
      </c>
      <c r="H390" t="s">
        <v>230</v>
      </c>
      <c r="I390" t="s">
        <v>235</v>
      </c>
      <c r="J390" t="str">
        <f t="shared" si="6"/>
        <v>111001111010</v>
      </c>
    </row>
    <row r="391" spans="1:10">
      <c r="A391">
        <v>390</v>
      </c>
      <c r="B391" t="s">
        <v>232</v>
      </c>
      <c r="C391" t="s">
        <v>233</v>
      </c>
      <c r="D391" t="s">
        <v>238</v>
      </c>
      <c r="E391" t="s">
        <v>237</v>
      </c>
      <c r="F391" t="s">
        <v>239</v>
      </c>
      <c r="G391" t="s">
        <v>231</v>
      </c>
      <c r="H391" t="s">
        <v>230</v>
      </c>
      <c r="I391" t="s">
        <v>229</v>
      </c>
      <c r="J391" t="str">
        <f t="shared" si="6"/>
        <v>111001111100</v>
      </c>
    </row>
    <row r="392" spans="1:10">
      <c r="A392">
        <v>391</v>
      </c>
      <c r="B392" t="s">
        <v>228</v>
      </c>
      <c r="C392" t="s">
        <v>229</v>
      </c>
      <c r="D392" t="s">
        <v>238</v>
      </c>
      <c r="E392" t="s">
        <v>239</v>
      </c>
      <c r="F392" t="s">
        <v>230</v>
      </c>
      <c r="G392" t="s">
        <v>237</v>
      </c>
      <c r="H392" t="s">
        <v>234</v>
      </c>
      <c r="I392" t="s">
        <v>235</v>
      </c>
      <c r="J392" t="str">
        <f t="shared" si="6"/>
        <v>111010001111</v>
      </c>
    </row>
    <row r="393" spans="1:10">
      <c r="A393">
        <v>392</v>
      </c>
      <c r="B393" t="s">
        <v>228</v>
      </c>
      <c r="C393" t="s">
        <v>229</v>
      </c>
      <c r="D393" t="s">
        <v>238</v>
      </c>
      <c r="E393" t="s">
        <v>237</v>
      </c>
      <c r="F393" t="s">
        <v>239</v>
      </c>
      <c r="G393" t="s">
        <v>232</v>
      </c>
      <c r="H393" t="s">
        <v>234</v>
      </c>
      <c r="I393" t="s">
        <v>235</v>
      </c>
      <c r="J393" t="str">
        <f t="shared" si="6"/>
        <v>111010010111</v>
      </c>
    </row>
    <row r="394" spans="1:10">
      <c r="A394">
        <v>393</v>
      </c>
      <c r="B394" t="s">
        <v>228</v>
      </c>
      <c r="C394" t="s">
        <v>230</v>
      </c>
      <c r="D394" t="s">
        <v>238</v>
      </c>
      <c r="E394" t="s">
        <v>237</v>
      </c>
      <c r="F394" t="s">
        <v>239</v>
      </c>
      <c r="G394" t="s">
        <v>232</v>
      </c>
      <c r="H394" t="s">
        <v>234</v>
      </c>
      <c r="I394" t="s">
        <v>235</v>
      </c>
      <c r="J394" t="str">
        <f t="shared" si="6"/>
        <v>111010011011</v>
      </c>
    </row>
    <row r="395" spans="1:10">
      <c r="A395">
        <v>394</v>
      </c>
      <c r="B395" t="s">
        <v>228</v>
      </c>
      <c r="C395" t="s">
        <v>229</v>
      </c>
      <c r="D395" t="s">
        <v>238</v>
      </c>
      <c r="E395" t="s">
        <v>237</v>
      </c>
      <c r="F395" t="s">
        <v>239</v>
      </c>
      <c r="G395" t="s">
        <v>232</v>
      </c>
      <c r="H395" t="s">
        <v>234</v>
      </c>
      <c r="I395" t="s">
        <v>230</v>
      </c>
      <c r="J395" t="str">
        <f t="shared" si="6"/>
        <v>111010011101</v>
      </c>
    </row>
    <row r="396" spans="1:10">
      <c r="A396">
        <v>395</v>
      </c>
      <c r="B396" t="s">
        <v>228</v>
      </c>
      <c r="C396" t="s">
        <v>229</v>
      </c>
      <c r="D396" t="s">
        <v>238</v>
      </c>
      <c r="E396" t="s">
        <v>237</v>
      </c>
      <c r="F396" t="s">
        <v>239</v>
      </c>
      <c r="G396" t="s">
        <v>232</v>
      </c>
      <c r="H396" t="s">
        <v>230</v>
      </c>
      <c r="I396" t="s">
        <v>235</v>
      </c>
      <c r="J396" t="str">
        <f t="shared" si="6"/>
        <v>111010011110</v>
      </c>
    </row>
    <row r="397" spans="1:10">
      <c r="A397">
        <v>396</v>
      </c>
      <c r="B397" t="s">
        <v>228</v>
      </c>
      <c r="C397" t="s">
        <v>229</v>
      </c>
      <c r="D397" t="s">
        <v>238</v>
      </c>
      <c r="E397" t="s">
        <v>237</v>
      </c>
      <c r="F397" t="s">
        <v>239</v>
      </c>
      <c r="G397" t="s">
        <v>233</v>
      </c>
      <c r="H397" t="s">
        <v>234</v>
      </c>
      <c r="I397" t="s">
        <v>235</v>
      </c>
      <c r="J397" t="str">
        <f t="shared" si="6"/>
        <v>111010100111</v>
      </c>
    </row>
    <row r="398" spans="1:10">
      <c r="A398">
        <v>397</v>
      </c>
      <c r="B398" t="s">
        <v>228</v>
      </c>
      <c r="C398" t="s">
        <v>233</v>
      </c>
      <c r="D398" t="s">
        <v>238</v>
      </c>
      <c r="E398" t="s">
        <v>239</v>
      </c>
      <c r="F398" t="s">
        <v>230</v>
      </c>
      <c r="G398" t="s">
        <v>237</v>
      </c>
      <c r="H398" t="s">
        <v>234</v>
      </c>
      <c r="I398" t="s">
        <v>235</v>
      </c>
      <c r="J398" t="str">
        <f t="shared" si="6"/>
        <v>111010101011</v>
      </c>
    </row>
    <row r="399" spans="1:10">
      <c r="A399">
        <v>398</v>
      </c>
      <c r="B399" t="s">
        <v>228</v>
      </c>
      <c r="C399" t="s">
        <v>229</v>
      </c>
      <c r="D399" t="s">
        <v>238</v>
      </c>
      <c r="E399" t="s">
        <v>237</v>
      </c>
      <c r="F399" t="s">
        <v>239</v>
      </c>
      <c r="G399" t="s">
        <v>233</v>
      </c>
      <c r="H399" t="s">
        <v>234</v>
      </c>
      <c r="I399" t="s">
        <v>230</v>
      </c>
      <c r="J399" t="str">
        <f t="shared" si="6"/>
        <v>111010101101</v>
      </c>
    </row>
    <row r="400" spans="1:10">
      <c r="A400">
        <v>399</v>
      </c>
      <c r="B400" t="s">
        <v>228</v>
      </c>
      <c r="C400" t="s">
        <v>229</v>
      </c>
      <c r="D400" t="s">
        <v>238</v>
      </c>
      <c r="E400" t="s">
        <v>237</v>
      </c>
      <c r="F400" t="s">
        <v>239</v>
      </c>
      <c r="G400" t="s">
        <v>233</v>
      </c>
      <c r="H400" t="s">
        <v>230</v>
      </c>
      <c r="I400" t="s">
        <v>235</v>
      </c>
      <c r="J400" t="str">
        <f t="shared" si="6"/>
        <v>111010101110</v>
      </c>
    </row>
    <row r="401" spans="1:10">
      <c r="A401">
        <v>400</v>
      </c>
      <c r="B401" t="s">
        <v>228</v>
      </c>
      <c r="C401" t="s">
        <v>233</v>
      </c>
      <c r="D401" t="s">
        <v>238</v>
      </c>
      <c r="E401" t="s">
        <v>237</v>
      </c>
      <c r="F401" t="s">
        <v>239</v>
      </c>
      <c r="G401" t="s">
        <v>232</v>
      </c>
      <c r="H401" t="s">
        <v>234</v>
      </c>
      <c r="I401" t="s">
        <v>235</v>
      </c>
      <c r="J401" t="str">
        <f t="shared" si="6"/>
        <v>111010110011</v>
      </c>
    </row>
    <row r="402" spans="1:10">
      <c r="A402">
        <v>401</v>
      </c>
      <c r="B402" t="s">
        <v>232</v>
      </c>
      <c r="C402" t="s">
        <v>229</v>
      </c>
      <c r="D402" t="s">
        <v>238</v>
      </c>
      <c r="E402" t="s">
        <v>237</v>
      </c>
      <c r="F402" t="s">
        <v>239</v>
      </c>
      <c r="G402" t="s">
        <v>233</v>
      </c>
      <c r="H402" t="s">
        <v>234</v>
      </c>
      <c r="I402" t="s">
        <v>228</v>
      </c>
      <c r="J402" t="str">
        <f t="shared" si="6"/>
        <v>111010110101</v>
      </c>
    </row>
    <row r="403" spans="1:10">
      <c r="A403">
        <v>402</v>
      </c>
      <c r="B403" t="s">
        <v>232</v>
      </c>
      <c r="C403" t="s">
        <v>229</v>
      </c>
      <c r="D403" t="s">
        <v>238</v>
      </c>
      <c r="E403" t="s">
        <v>237</v>
      </c>
      <c r="F403" t="s">
        <v>239</v>
      </c>
      <c r="G403" t="s">
        <v>233</v>
      </c>
      <c r="H403" t="s">
        <v>228</v>
      </c>
      <c r="I403" t="s">
        <v>235</v>
      </c>
      <c r="J403" t="str">
        <f t="shared" si="6"/>
        <v>111010110110</v>
      </c>
    </row>
    <row r="404" spans="1:10">
      <c r="A404">
        <v>403</v>
      </c>
      <c r="B404" t="s">
        <v>228</v>
      </c>
      <c r="C404" t="s">
        <v>233</v>
      </c>
      <c r="D404" t="s">
        <v>238</v>
      </c>
      <c r="E404" t="s">
        <v>237</v>
      </c>
      <c r="F404" t="s">
        <v>239</v>
      </c>
      <c r="G404" t="s">
        <v>232</v>
      </c>
      <c r="H404" t="s">
        <v>234</v>
      </c>
      <c r="I404" t="s">
        <v>230</v>
      </c>
      <c r="J404" t="str">
        <f t="shared" si="6"/>
        <v>111010111001</v>
      </c>
    </row>
    <row r="405" spans="1:10">
      <c r="A405">
        <v>404</v>
      </c>
      <c r="B405" t="s">
        <v>228</v>
      </c>
      <c r="C405" t="s">
        <v>233</v>
      </c>
      <c r="D405" t="s">
        <v>238</v>
      </c>
      <c r="E405" t="s">
        <v>237</v>
      </c>
      <c r="F405" t="s">
        <v>239</v>
      </c>
      <c r="G405" t="s">
        <v>232</v>
      </c>
      <c r="H405" t="s">
        <v>230</v>
      </c>
      <c r="I405" t="s">
        <v>235</v>
      </c>
      <c r="J405" t="str">
        <f t="shared" si="6"/>
        <v>111010111010</v>
      </c>
    </row>
    <row r="406" spans="1:10">
      <c r="A406">
        <v>405</v>
      </c>
      <c r="B406" t="s">
        <v>232</v>
      </c>
      <c r="C406" t="s">
        <v>229</v>
      </c>
      <c r="D406" t="s">
        <v>238</v>
      </c>
      <c r="E406" t="s">
        <v>237</v>
      </c>
      <c r="F406" t="s">
        <v>239</v>
      </c>
      <c r="G406" t="s">
        <v>233</v>
      </c>
      <c r="H406" t="s">
        <v>228</v>
      </c>
      <c r="I406" t="s">
        <v>230</v>
      </c>
      <c r="J406" t="str">
        <f t="shared" si="6"/>
        <v>111010111100</v>
      </c>
    </row>
    <row r="407" spans="1:10">
      <c r="A407">
        <v>406</v>
      </c>
      <c r="B407" t="s">
        <v>228</v>
      </c>
      <c r="C407" t="s">
        <v>229</v>
      </c>
      <c r="D407" t="s">
        <v>238</v>
      </c>
      <c r="E407" t="s">
        <v>237</v>
      </c>
      <c r="F407" t="s">
        <v>239</v>
      </c>
      <c r="G407" t="s">
        <v>231</v>
      </c>
      <c r="H407" t="s">
        <v>234</v>
      </c>
      <c r="I407" t="s">
        <v>235</v>
      </c>
      <c r="J407" t="str">
        <f t="shared" si="6"/>
        <v>111011000111</v>
      </c>
    </row>
    <row r="408" spans="1:10">
      <c r="A408">
        <v>407</v>
      </c>
      <c r="B408" t="s">
        <v>228</v>
      </c>
      <c r="C408" t="s">
        <v>230</v>
      </c>
      <c r="D408" t="s">
        <v>238</v>
      </c>
      <c r="E408" t="s">
        <v>237</v>
      </c>
      <c r="F408" t="s">
        <v>239</v>
      </c>
      <c r="G408" t="s">
        <v>231</v>
      </c>
      <c r="H408" t="s">
        <v>234</v>
      </c>
      <c r="I408" t="s">
        <v>235</v>
      </c>
      <c r="J408" t="str">
        <f t="shared" si="6"/>
        <v>111011001011</v>
      </c>
    </row>
    <row r="409" spans="1:10">
      <c r="A409">
        <v>408</v>
      </c>
      <c r="B409" t="s">
        <v>228</v>
      </c>
      <c r="C409" t="s">
        <v>229</v>
      </c>
      <c r="D409" t="s">
        <v>238</v>
      </c>
      <c r="E409" t="s">
        <v>237</v>
      </c>
      <c r="F409" t="s">
        <v>239</v>
      </c>
      <c r="G409" t="s">
        <v>231</v>
      </c>
      <c r="H409" t="s">
        <v>234</v>
      </c>
      <c r="I409" t="s">
        <v>230</v>
      </c>
      <c r="J409" t="str">
        <f t="shared" si="6"/>
        <v>111011001101</v>
      </c>
    </row>
    <row r="410" spans="1:10">
      <c r="A410">
        <v>409</v>
      </c>
      <c r="B410" t="s">
        <v>228</v>
      </c>
      <c r="C410" t="s">
        <v>229</v>
      </c>
      <c r="D410" t="s">
        <v>238</v>
      </c>
      <c r="E410" t="s">
        <v>237</v>
      </c>
      <c r="F410" t="s">
        <v>239</v>
      </c>
      <c r="G410" t="s">
        <v>231</v>
      </c>
      <c r="H410" t="s">
        <v>230</v>
      </c>
      <c r="I410" t="s">
        <v>235</v>
      </c>
      <c r="J410" t="str">
        <f t="shared" si="6"/>
        <v>111011001110</v>
      </c>
    </row>
    <row r="411" spans="1:10">
      <c r="A411">
        <v>410</v>
      </c>
      <c r="B411" t="s">
        <v>232</v>
      </c>
      <c r="C411" t="s">
        <v>228</v>
      </c>
      <c r="D411" t="s">
        <v>238</v>
      </c>
      <c r="E411" t="s">
        <v>237</v>
      </c>
      <c r="F411" t="s">
        <v>239</v>
      </c>
      <c r="G411" t="s">
        <v>231</v>
      </c>
      <c r="H411" t="s">
        <v>234</v>
      </c>
      <c r="I411" t="s">
        <v>235</v>
      </c>
      <c r="J411" t="str">
        <f t="shared" si="6"/>
        <v>111011010011</v>
      </c>
    </row>
    <row r="412" spans="1:10">
      <c r="A412">
        <v>411</v>
      </c>
      <c r="B412" t="s">
        <v>232</v>
      </c>
      <c r="C412" t="s">
        <v>229</v>
      </c>
      <c r="D412" t="s">
        <v>238</v>
      </c>
      <c r="E412" t="s">
        <v>237</v>
      </c>
      <c r="F412" t="s">
        <v>239</v>
      </c>
      <c r="G412" t="s">
        <v>231</v>
      </c>
      <c r="H412" t="s">
        <v>234</v>
      </c>
      <c r="I412" t="s">
        <v>228</v>
      </c>
      <c r="J412" t="str">
        <f t="shared" si="6"/>
        <v>111011010101</v>
      </c>
    </row>
    <row r="413" spans="1:10">
      <c r="A413">
        <v>412</v>
      </c>
      <c r="B413" t="s">
        <v>232</v>
      </c>
      <c r="C413" t="s">
        <v>229</v>
      </c>
      <c r="D413" t="s">
        <v>238</v>
      </c>
      <c r="E413" t="s">
        <v>237</v>
      </c>
      <c r="F413" t="s">
        <v>239</v>
      </c>
      <c r="G413" t="s">
        <v>231</v>
      </c>
      <c r="H413" t="s">
        <v>228</v>
      </c>
      <c r="I413" t="s">
        <v>235</v>
      </c>
      <c r="J413" t="str">
        <f t="shared" si="6"/>
        <v>111011010110</v>
      </c>
    </row>
    <row r="414" spans="1:10">
      <c r="A414">
        <v>413</v>
      </c>
      <c r="B414" t="s">
        <v>232</v>
      </c>
      <c r="C414" t="s">
        <v>228</v>
      </c>
      <c r="D414" t="s">
        <v>238</v>
      </c>
      <c r="E414" t="s">
        <v>237</v>
      </c>
      <c r="F414" t="s">
        <v>239</v>
      </c>
      <c r="G414" t="s">
        <v>231</v>
      </c>
      <c r="H414" t="s">
        <v>234</v>
      </c>
      <c r="I414" t="s">
        <v>230</v>
      </c>
      <c r="J414" t="str">
        <f t="shared" si="6"/>
        <v>111011011001</v>
      </c>
    </row>
    <row r="415" spans="1:10">
      <c r="A415">
        <v>414</v>
      </c>
      <c r="B415" t="s">
        <v>232</v>
      </c>
      <c r="C415" t="s">
        <v>228</v>
      </c>
      <c r="D415" t="s">
        <v>238</v>
      </c>
      <c r="E415" t="s">
        <v>237</v>
      </c>
      <c r="F415" t="s">
        <v>239</v>
      </c>
      <c r="G415" t="s">
        <v>231</v>
      </c>
      <c r="H415" t="s">
        <v>230</v>
      </c>
      <c r="I415" t="s">
        <v>235</v>
      </c>
      <c r="J415" t="str">
        <f t="shared" si="6"/>
        <v>111011011010</v>
      </c>
    </row>
    <row r="416" spans="1:10">
      <c r="A416">
        <v>415</v>
      </c>
      <c r="B416" t="s">
        <v>232</v>
      </c>
      <c r="C416" t="s">
        <v>229</v>
      </c>
      <c r="D416" t="s">
        <v>238</v>
      </c>
      <c r="E416" t="s">
        <v>237</v>
      </c>
      <c r="F416" t="s">
        <v>239</v>
      </c>
      <c r="G416" t="s">
        <v>231</v>
      </c>
      <c r="H416" t="s">
        <v>228</v>
      </c>
      <c r="I416" t="s">
        <v>230</v>
      </c>
      <c r="J416" t="str">
        <f t="shared" si="6"/>
        <v>111011011100</v>
      </c>
    </row>
    <row r="417" spans="1:10">
      <c r="A417">
        <v>416</v>
      </c>
      <c r="B417" t="s">
        <v>228</v>
      </c>
      <c r="C417" t="s">
        <v>233</v>
      </c>
      <c r="D417" t="s">
        <v>238</v>
      </c>
      <c r="E417" t="s">
        <v>237</v>
      </c>
      <c r="F417" t="s">
        <v>239</v>
      </c>
      <c r="G417" t="s">
        <v>231</v>
      </c>
      <c r="H417" t="s">
        <v>234</v>
      </c>
      <c r="I417" t="s">
        <v>235</v>
      </c>
      <c r="J417" t="str">
        <f t="shared" si="6"/>
        <v>111011100011</v>
      </c>
    </row>
    <row r="418" spans="1:10">
      <c r="A418">
        <v>417</v>
      </c>
      <c r="B418" t="s">
        <v>228</v>
      </c>
      <c r="C418" t="s">
        <v>233</v>
      </c>
      <c r="D418" t="s">
        <v>238</v>
      </c>
      <c r="E418" t="s">
        <v>237</v>
      </c>
      <c r="F418" t="s">
        <v>239</v>
      </c>
      <c r="G418" t="s">
        <v>231</v>
      </c>
      <c r="H418" t="s">
        <v>234</v>
      </c>
      <c r="I418" t="s">
        <v>229</v>
      </c>
      <c r="J418" t="str">
        <f t="shared" si="6"/>
        <v>111011100101</v>
      </c>
    </row>
    <row r="419" spans="1:10">
      <c r="A419">
        <v>418</v>
      </c>
      <c r="B419" t="s">
        <v>228</v>
      </c>
      <c r="C419" t="s">
        <v>233</v>
      </c>
      <c r="D419" t="s">
        <v>238</v>
      </c>
      <c r="E419" t="s">
        <v>237</v>
      </c>
      <c r="F419" t="s">
        <v>239</v>
      </c>
      <c r="G419" t="s">
        <v>231</v>
      </c>
      <c r="H419" t="s">
        <v>229</v>
      </c>
      <c r="I419" t="s">
        <v>235</v>
      </c>
      <c r="J419" t="str">
        <f t="shared" si="6"/>
        <v>111011100110</v>
      </c>
    </row>
    <row r="420" spans="1:10">
      <c r="A420">
        <v>419</v>
      </c>
      <c r="B420" t="s">
        <v>228</v>
      </c>
      <c r="C420" t="s">
        <v>233</v>
      </c>
      <c r="D420" t="s">
        <v>238</v>
      </c>
      <c r="E420" t="s">
        <v>237</v>
      </c>
      <c r="F420" t="s">
        <v>239</v>
      </c>
      <c r="G420" t="s">
        <v>231</v>
      </c>
      <c r="H420" t="s">
        <v>234</v>
      </c>
      <c r="I420" t="s">
        <v>230</v>
      </c>
      <c r="J420" t="str">
        <f t="shared" si="6"/>
        <v>111011101001</v>
      </c>
    </row>
    <row r="421" spans="1:10">
      <c r="A421">
        <v>420</v>
      </c>
      <c r="B421" t="s">
        <v>228</v>
      </c>
      <c r="C421" t="s">
        <v>233</v>
      </c>
      <c r="D421" t="s">
        <v>238</v>
      </c>
      <c r="E421" t="s">
        <v>237</v>
      </c>
      <c r="F421" t="s">
        <v>239</v>
      </c>
      <c r="G421" t="s">
        <v>231</v>
      </c>
      <c r="H421" t="s">
        <v>230</v>
      </c>
      <c r="I421" t="s">
        <v>235</v>
      </c>
      <c r="J421" t="str">
        <f t="shared" si="6"/>
        <v>111011101010</v>
      </c>
    </row>
    <row r="422" spans="1:10">
      <c r="A422">
        <v>421</v>
      </c>
      <c r="B422" t="s">
        <v>228</v>
      </c>
      <c r="C422" t="s">
        <v>233</v>
      </c>
      <c r="D422" t="s">
        <v>238</v>
      </c>
      <c r="E422" t="s">
        <v>237</v>
      </c>
      <c r="F422" t="s">
        <v>239</v>
      </c>
      <c r="G422" t="s">
        <v>231</v>
      </c>
      <c r="H422" t="s">
        <v>230</v>
      </c>
      <c r="I422" t="s">
        <v>229</v>
      </c>
      <c r="J422" t="str">
        <f t="shared" si="6"/>
        <v>111011101100</v>
      </c>
    </row>
    <row r="423" spans="1:10">
      <c r="A423">
        <v>422</v>
      </c>
      <c r="B423" t="s">
        <v>232</v>
      </c>
      <c r="C423" t="s">
        <v>233</v>
      </c>
      <c r="D423" t="s">
        <v>238</v>
      </c>
      <c r="E423" t="s">
        <v>237</v>
      </c>
      <c r="F423" t="s">
        <v>239</v>
      </c>
      <c r="G423" t="s">
        <v>231</v>
      </c>
      <c r="H423" t="s">
        <v>234</v>
      </c>
      <c r="I423" t="s">
        <v>228</v>
      </c>
      <c r="J423" t="str">
        <f t="shared" si="6"/>
        <v>111011110001</v>
      </c>
    </row>
    <row r="424" spans="1:10">
      <c r="A424">
        <v>423</v>
      </c>
      <c r="B424" t="s">
        <v>232</v>
      </c>
      <c r="C424" t="s">
        <v>233</v>
      </c>
      <c r="D424" t="s">
        <v>238</v>
      </c>
      <c r="E424" t="s">
        <v>237</v>
      </c>
      <c r="F424" t="s">
        <v>239</v>
      </c>
      <c r="G424" t="s">
        <v>231</v>
      </c>
      <c r="H424" t="s">
        <v>228</v>
      </c>
      <c r="I424" t="s">
        <v>235</v>
      </c>
      <c r="J424" t="str">
        <f t="shared" si="6"/>
        <v>111011110010</v>
      </c>
    </row>
    <row r="425" spans="1:10">
      <c r="A425">
        <v>424</v>
      </c>
      <c r="B425" t="s">
        <v>232</v>
      </c>
      <c r="C425" t="s">
        <v>233</v>
      </c>
      <c r="D425" t="s">
        <v>238</v>
      </c>
      <c r="E425" t="s">
        <v>237</v>
      </c>
      <c r="F425" t="s">
        <v>239</v>
      </c>
      <c r="G425" t="s">
        <v>231</v>
      </c>
      <c r="H425" t="s">
        <v>228</v>
      </c>
      <c r="I425" t="s">
        <v>229</v>
      </c>
      <c r="J425" t="str">
        <f t="shared" si="6"/>
        <v>111011110100</v>
      </c>
    </row>
    <row r="426" spans="1:10">
      <c r="A426">
        <v>425</v>
      </c>
      <c r="B426" t="s">
        <v>232</v>
      </c>
      <c r="C426" t="s">
        <v>233</v>
      </c>
      <c r="D426" t="s">
        <v>238</v>
      </c>
      <c r="E426" t="s">
        <v>237</v>
      </c>
      <c r="F426" t="s">
        <v>239</v>
      </c>
      <c r="G426" t="s">
        <v>231</v>
      </c>
      <c r="H426" t="s">
        <v>228</v>
      </c>
      <c r="I426" t="s">
        <v>230</v>
      </c>
      <c r="J426" t="str">
        <f t="shared" si="6"/>
        <v>111011111000</v>
      </c>
    </row>
    <row r="427" spans="1:10">
      <c r="A427">
        <v>426</v>
      </c>
      <c r="B427" t="s">
        <v>230</v>
      </c>
      <c r="C427" t="s">
        <v>229</v>
      </c>
      <c r="D427" t="s">
        <v>238</v>
      </c>
      <c r="E427" t="s">
        <v>237</v>
      </c>
      <c r="F427" t="s">
        <v>239</v>
      </c>
      <c r="G427" t="s">
        <v>236</v>
      </c>
      <c r="H427" t="s">
        <v>234</v>
      </c>
      <c r="I427" t="s">
        <v>235</v>
      </c>
      <c r="J427" t="str">
        <f t="shared" si="6"/>
        <v>111100001111</v>
      </c>
    </row>
    <row r="428" spans="1:10">
      <c r="A428">
        <v>427</v>
      </c>
      <c r="B428" t="s">
        <v>232</v>
      </c>
      <c r="C428" t="s">
        <v>229</v>
      </c>
      <c r="D428" t="s">
        <v>238</v>
      </c>
      <c r="E428" t="s">
        <v>237</v>
      </c>
      <c r="F428" t="s">
        <v>239</v>
      </c>
      <c r="G428" t="s">
        <v>236</v>
      </c>
      <c r="H428" t="s">
        <v>234</v>
      </c>
      <c r="I428" t="s">
        <v>235</v>
      </c>
      <c r="J428" t="str">
        <f t="shared" si="6"/>
        <v>111100010111</v>
      </c>
    </row>
    <row r="429" spans="1:10">
      <c r="A429">
        <v>428</v>
      </c>
      <c r="B429" t="s">
        <v>232</v>
      </c>
      <c r="C429" t="s">
        <v>230</v>
      </c>
      <c r="D429" t="s">
        <v>238</v>
      </c>
      <c r="E429" t="s">
        <v>237</v>
      </c>
      <c r="F429" t="s">
        <v>239</v>
      </c>
      <c r="G429" t="s">
        <v>236</v>
      </c>
      <c r="H429" t="s">
        <v>234</v>
      </c>
      <c r="I429" t="s">
        <v>235</v>
      </c>
      <c r="J429" t="str">
        <f t="shared" si="6"/>
        <v>111100011011</v>
      </c>
    </row>
    <row r="430" spans="1:10">
      <c r="A430">
        <v>429</v>
      </c>
      <c r="B430" t="s">
        <v>232</v>
      </c>
      <c r="C430" t="s">
        <v>229</v>
      </c>
      <c r="D430" t="s">
        <v>238</v>
      </c>
      <c r="E430" t="s">
        <v>237</v>
      </c>
      <c r="F430" t="s">
        <v>239</v>
      </c>
      <c r="G430" t="s">
        <v>236</v>
      </c>
      <c r="H430" t="s">
        <v>234</v>
      </c>
      <c r="I430" t="s">
        <v>230</v>
      </c>
      <c r="J430" t="str">
        <f t="shared" si="6"/>
        <v>111100011101</v>
      </c>
    </row>
    <row r="431" spans="1:10">
      <c r="A431">
        <v>430</v>
      </c>
      <c r="B431" t="s">
        <v>232</v>
      </c>
      <c r="C431" t="s">
        <v>229</v>
      </c>
      <c r="D431" t="s">
        <v>238</v>
      </c>
      <c r="E431" t="s">
        <v>237</v>
      </c>
      <c r="F431" t="s">
        <v>239</v>
      </c>
      <c r="G431" t="s">
        <v>236</v>
      </c>
      <c r="H431" t="s">
        <v>230</v>
      </c>
      <c r="I431" t="s">
        <v>235</v>
      </c>
      <c r="J431" t="str">
        <f t="shared" si="6"/>
        <v>111100011110</v>
      </c>
    </row>
    <row r="432" spans="1:10">
      <c r="A432">
        <v>431</v>
      </c>
      <c r="B432" t="s">
        <v>237</v>
      </c>
      <c r="C432" t="s">
        <v>229</v>
      </c>
      <c r="D432" t="s">
        <v>238</v>
      </c>
      <c r="E432" t="s">
        <v>236</v>
      </c>
      <c r="F432" t="s">
        <v>239</v>
      </c>
      <c r="G432" t="s">
        <v>233</v>
      </c>
      <c r="H432" t="s">
        <v>234</v>
      </c>
      <c r="I432" t="s">
        <v>235</v>
      </c>
      <c r="J432" t="str">
        <f t="shared" si="6"/>
        <v>111100100111</v>
      </c>
    </row>
    <row r="433" spans="1:10">
      <c r="A433">
        <v>432</v>
      </c>
      <c r="B433" t="s">
        <v>230</v>
      </c>
      <c r="C433" t="s">
        <v>233</v>
      </c>
      <c r="D433" t="s">
        <v>238</v>
      </c>
      <c r="E433" t="s">
        <v>237</v>
      </c>
      <c r="F433" t="s">
        <v>239</v>
      </c>
      <c r="G433" t="s">
        <v>236</v>
      </c>
      <c r="H433" t="s">
        <v>234</v>
      </c>
      <c r="I433" t="s">
        <v>235</v>
      </c>
      <c r="J433" t="str">
        <f t="shared" si="6"/>
        <v>111100101011</v>
      </c>
    </row>
    <row r="434" spans="1:10">
      <c r="A434">
        <v>433</v>
      </c>
      <c r="B434" t="s">
        <v>237</v>
      </c>
      <c r="C434" t="s">
        <v>229</v>
      </c>
      <c r="D434" t="s">
        <v>238</v>
      </c>
      <c r="E434" t="s">
        <v>236</v>
      </c>
      <c r="F434" t="s">
        <v>239</v>
      </c>
      <c r="G434" t="s">
        <v>233</v>
      </c>
      <c r="H434" t="s">
        <v>234</v>
      </c>
      <c r="I434" t="s">
        <v>230</v>
      </c>
      <c r="J434" t="str">
        <f t="shared" si="6"/>
        <v>111100101101</v>
      </c>
    </row>
    <row r="435" spans="1:10">
      <c r="A435">
        <v>434</v>
      </c>
      <c r="B435" t="s">
        <v>237</v>
      </c>
      <c r="C435" t="s">
        <v>229</v>
      </c>
      <c r="D435" t="s">
        <v>238</v>
      </c>
      <c r="E435" t="s">
        <v>236</v>
      </c>
      <c r="F435" t="s">
        <v>239</v>
      </c>
      <c r="G435" t="s">
        <v>233</v>
      </c>
      <c r="H435" t="s">
        <v>230</v>
      </c>
      <c r="I435" t="s">
        <v>235</v>
      </c>
      <c r="J435" t="str">
        <f t="shared" si="6"/>
        <v>111100101110</v>
      </c>
    </row>
    <row r="436" spans="1:10">
      <c r="A436">
        <v>435</v>
      </c>
      <c r="B436" t="s">
        <v>232</v>
      </c>
      <c r="C436" t="s">
        <v>233</v>
      </c>
      <c r="D436" t="s">
        <v>238</v>
      </c>
      <c r="E436" t="s">
        <v>237</v>
      </c>
      <c r="F436" t="s">
        <v>239</v>
      </c>
      <c r="G436" t="s">
        <v>236</v>
      </c>
      <c r="H436" t="s">
        <v>234</v>
      </c>
      <c r="I436" t="s">
        <v>235</v>
      </c>
      <c r="J436" t="str">
        <f t="shared" si="6"/>
        <v>111100110011</v>
      </c>
    </row>
    <row r="437" spans="1:10">
      <c r="A437">
        <v>436</v>
      </c>
      <c r="B437" t="s">
        <v>232</v>
      </c>
      <c r="C437" t="s">
        <v>233</v>
      </c>
      <c r="D437" t="s">
        <v>238</v>
      </c>
      <c r="E437" t="s">
        <v>237</v>
      </c>
      <c r="F437" t="s">
        <v>239</v>
      </c>
      <c r="G437" t="s">
        <v>236</v>
      </c>
      <c r="H437" t="s">
        <v>234</v>
      </c>
      <c r="I437" t="s">
        <v>229</v>
      </c>
      <c r="J437" t="str">
        <f t="shared" si="6"/>
        <v>111100110101</v>
      </c>
    </row>
    <row r="438" spans="1:10">
      <c r="A438">
        <v>437</v>
      </c>
      <c r="B438" t="s">
        <v>232</v>
      </c>
      <c r="C438" t="s">
        <v>233</v>
      </c>
      <c r="D438" t="s">
        <v>238</v>
      </c>
      <c r="E438" t="s">
        <v>237</v>
      </c>
      <c r="F438" t="s">
        <v>239</v>
      </c>
      <c r="G438" t="s">
        <v>236</v>
      </c>
      <c r="H438" t="s">
        <v>229</v>
      </c>
      <c r="I438" t="s">
        <v>235</v>
      </c>
      <c r="J438" t="str">
        <f t="shared" si="6"/>
        <v>111100110110</v>
      </c>
    </row>
    <row r="439" spans="1:10">
      <c r="A439">
        <v>438</v>
      </c>
      <c r="B439" t="s">
        <v>232</v>
      </c>
      <c r="C439" t="s">
        <v>233</v>
      </c>
      <c r="D439" t="s">
        <v>238</v>
      </c>
      <c r="E439" t="s">
        <v>237</v>
      </c>
      <c r="F439" t="s">
        <v>239</v>
      </c>
      <c r="G439" t="s">
        <v>236</v>
      </c>
      <c r="H439" t="s">
        <v>234</v>
      </c>
      <c r="I439" t="s">
        <v>230</v>
      </c>
      <c r="J439" t="str">
        <f t="shared" si="6"/>
        <v>111100111001</v>
      </c>
    </row>
    <row r="440" spans="1:10">
      <c r="A440">
        <v>439</v>
      </c>
      <c r="B440" t="s">
        <v>232</v>
      </c>
      <c r="C440" t="s">
        <v>233</v>
      </c>
      <c r="D440" t="s">
        <v>238</v>
      </c>
      <c r="E440" t="s">
        <v>237</v>
      </c>
      <c r="F440" t="s">
        <v>239</v>
      </c>
      <c r="G440" t="s">
        <v>236</v>
      </c>
      <c r="H440" t="s">
        <v>230</v>
      </c>
      <c r="I440" t="s">
        <v>235</v>
      </c>
      <c r="J440" t="str">
        <f t="shared" si="6"/>
        <v>111100111010</v>
      </c>
    </row>
    <row r="441" spans="1:10">
      <c r="A441">
        <v>440</v>
      </c>
      <c r="B441" t="s">
        <v>232</v>
      </c>
      <c r="C441" t="s">
        <v>233</v>
      </c>
      <c r="D441" t="s">
        <v>238</v>
      </c>
      <c r="E441" t="s">
        <v>237</v>
      </c>
      <c r="F441" t="s">
        <v>239</v>
      </c>
      <c r="G441" t="s">
        <v>236</v>
      </c>
      <c r="H441" t="s">
        <v>230</v>
      </c>
      <c r="I441" t="s">
        <v>229</v>
      </c>
      <c r="J441" t="str">
        <f t="shared" si="6"/>
        <v>111100111100</v>
      </c>
    </row>
    <row r="442" spans="1:10">
      <c r="A442">
        <v>441</v>
      </c>
      <c r="B442" t="s">
        <v>237</v>
      </c>
      <c r="C442" t="s">
        <v>229</v>
      </c>
      <c r="D442" t="s">
        <v>238</v>
      </c>
      <c r="E442" t="s">
        <v>236</v>
      </c>
      <c r="F442" t="s">
        <v>239</v>
      </c>
      <c r="G442" t="s">
        <v>231</v>
      </c>
      <c r="H442" t="s">
        <v>234</v>
      </c>
      <c r="I442" t="s">
        <v>235</v>
      </c>
      <c r="J442" t="str">
        <f t="shared" si="6"/>
        <v>111101000111</v>
      </c>
    </row>
    <row r="443" spans="1:10">
      <c r="A443">
        <v>442</v>
      </c>
      <c r="B443" t="s">
        <v>237</v>
      </c>
      <c r="C443" t="s">
        <v>230</v>
      </c>
      <c r="D443" t="s">
        <v>238</v>
      </c>
      <c r="E443" t="s">
        <v>236</v>
      </c>
      <c r="F443" t="s">
        <v>239</v>
      </c>
      <c r="G443" t="s">
        <v>231</v>
      </c>
      <c r="H443" t="s">
        <v>234</v>
      </c>
      <c r="I443" t="s">
        <v>235</v>
      </c>
      <c r="J443" t="str">
        <f t="shared" si="6"/>
        <v>111101001011</v>
      </c>
    </row>
    <row r="444" spans="1:10">
      <c r="A444">
        <v>443</v>
      </c>
      <c r="B444" t="s">
        <v>237</v>
      </c>
      <c r="C444" t="s">
        <v>229</v>
      </c>
      <c r="D444" t="s">
        <v>238</v>
      </c>
      <c r="E444" t="s">
        <v>236</v>
      </c>
      <c r="F444" t="s">
        <v>239</v>
      </c>
      <c r="G444" t="s">
        <v>231</v>
      </c>
      <c r="H444" t="s">
        <v>234</v>
      </c>
      <c r="I444" t="s">
        <v>230</v>
      </c>
      <c r="J444" t="str">
        <f t="shared" si="6"/>
        <v>111101001101</v>
      </c>
    </row>
    <row r="445" spans="1:10">
      <c r="A445">
        <v>444</v>
      </c>
      <c r="B445" t="s">
        <v>237</v>
      </c>
      <c r="C445" t="s">
        <v>229</v>
      </c>
      <c r="D445" t="s">
        <v>238</v>
      </c>
      <c r="E445" t="s">
        <v>236</v>
      </c>
      <c r="F445" t="s">
        <v>239</v>
      </c>
      <c r="G445" t="s">
        <v>231</v>
      </c>
      <c r="H445" t="s">
        <v>230</v>
      </c>
      <c r="I445" t="s">
        <v>235</v>
      </c>
      <c r="J445" t="str">
        <f t="shared" si="6"/>
        <v>111101001110</v>
      </c>
    </row>
    <row r="446" spans="1:10">
      <c r="A446">
        <v>445</v>
      </c>
      <c r="B446" t="s">
        <v>232</v>
      </c>
      <c r="C446" t="s">
        <v>231</v>
      </c>
      <c r="D446" t="s">
        <v>238</v>
      </c>
      <c r="E446" t="s">
        <v>237</v>
      </c>
      <c r="F446" t="s">
        <v>239</v>
      </c>
      <c r="G446" t="s">
        <v>236</v>
      </c>
      <c r="H446" t="s">
        <v>234</v>
      </c>
      <c r="I446" t="s">
        <v>235</v>
      </c>
      <c r="J446" t="str">
        <f t="shared" si="6"/>
        <v>111101010011</v>
      </c>
    </row>
    <row r="447" spans="1:10">
      <c r="A447">
        <v>446</v>
      </c>
      <c r="B447" t="s">
        <v>237</v>
      </c>
      <c r="C447" t="s">
        <v>229</v>
      </c>
      <c r="D447" t="s">
        <v>238</v>
      </c>
      <c r="E447" t="s">
        <v>236</v>
      </c>
      <c r="F447" t="s">
        <v>239</v>
      </c>
      <c r="G447" t="s">
        <v>231</v>
      </c>
      <c r="H447" t="s">
        <v>234</v>
      </c>
      <c r="I447" t="s">
        <v>232</v>
      </c>
      <c r="J447" t="str">
        <f t="shared" si="6"/>
        <v>111101010101</v>
      </c>
    </row>
    <row r="448" spans="1:10">
      <c r="A448">
        <v>447</v>
      </c>
      <c r="B448" t="s">
        <v>232</v>
      </c>
      <c r="C448" t="s">
        <v>229</v>
      </c>
      <c r="D448" t="s">
        <v>238</v>
      </c>
      <c r="E448" t="s">
        <v>237</v>
      </c>
      <c r="F448" t="s">
        <v>239</v>
      </c>
      <c r="G448" t="s">
        <v>231</v>
      </c>
      <c r="H448" t="s">
        <v>236</v>
      </c>
      <c r="I448" t="s">
        <v>235</v>
      </c>
      <c r="J448" t="str">
        <f t="shared" si="6"/>
        <v>111101010110</v>
      </c>
    </row>
    <row r="449" spans="1:10">
      <c r="A449">
        <v>448</v>
      </c>
      <c r="B449" t="s">
        <v>232</v>
      </c>
      <c r="C449" t="s">
        <v>231</v>
      </c>
      <c r="D449" t="s">
        <v>238</v>
      </c>
      <c r="E449" t="s">
        <v>237</v>
      </c>
      <c r="F449" t="s">
        <v>239</v>
      </c>
      <c r="G449" t="s">
        <v>236</v>
      </c>
      <c r="H449" t="s">
        <v>234</v>
      </c>
      <c r="I449" t="s">
        <v>230</v>
      </c>
      <c r="J449" t="str">
        <f t="shared" si="6"/>
        <v>111101011001</v>
      </c>
    </row>
    <row r="450" spans="1:10">
      <c r="A450">
        <v>449</v>
      </c>
      <c r="B450" t="s">
        <v>232</v>
      </c>
      <c r="C450" t="s">
        <v>231</v>
      </c>
      <c r="D450" t="s">
        <v>238</v>
      </c>
      <c r="E450" t="s">
        <v>237</v>
      </c>
      <c r="F450" t="s">
        <v>239</v>
      </c>
      <c r="G450" t="s">
        <v>236</v>
      </c>
      <c r="H450" t="s">
        <v>230</v>
      </c>
      <c r="I450" t="s">
        <v>235</v>
      </c>
      <c r="J450" t="str">
        <f t="shared" ref="J450:J496" si="7">COUNTIF($B450:$I450,"*A") &amp; COUNTIF($B450:$I450,"*B") &amp; COUNTIF($B450:$I450,"*C") &amp; COUNTIF($B450:$I450,"*D") &amp; COUNTIF($B450:$I450,"*E") &amp; COUNTIF($B450:$I450,"*F") &amp; COUNTIF($B450:$I450,"*G") &amp; COUNTIF($B450:$I450,"*H") &amp; COUNTIF($B450:$I450,"*I") &amp; COUNTIF($B450:$I450,"*J") &amp; COUNTIF($B450:$I450,"*K") &amp; COUNTIF($B450:$I450,"*L")</f>
        <v>111101011010</v>
      </c>
    </row>
    <row r="451" spans="1:10">
      <c r="A451">
        <v>450</v>
      </c>
      <c r="B451" t="s">
        <v>232</v>
      </c>
      <c r="C451" t="s">
        <v>229</v>
      </c>
      <c r="D451" t="s">
        <v>238</v>
      </c>
      <c r="E451" t="s">
        <v>237</v>
      </c>
      <c r="F451" t="s">
        <v>239</v>
      </c>
      <c r="G451" t="s">
        <v>231</v>
      </c>
      <c r="H451" t="s">
        <v>236</v>
      </c>
      <c r="I451" t="s">
        <v>230</v>
      </c>
      <c r="J451" t="str">
        <f t="shared" si="7"/>
        <v>111101011100</v>
      </c>
    </row>
    <row r="452" spans="1:10">
      <c r="A452">
        <v>451</v>
      </c>
      <c r="B452" t="s">
        <v>237</v>
      </c>
      <c r="C452" t="s">
        <v>233</v>
      </c>
      <c r="D452" t="s">
        <v>238</v>
      </c>
      <c r="E452" t="s">
        <v>236</v>
      </c>
      <c r="F452" t="s">
        <v>239</v>
      </c>
      <c r="G452" t="s">
        <v>231</v>
      </c>
      <c r="H452" t="s">
        <v>234</v>
      </c>
      <c r="I452" t="s">
        <v>235</v>
      </c>
      <c r="J452" t="str">
        <f t="shared" si="7"/>
        <v>111101100011</v>
      </c>
    </row>
    <row r="453" spans="1:10">
      <c r="A453">
        <v>452</v>
      </c>
      <c r="B453" t="s">
        <v>237</v>
      </c>
      <c r="C453" t="s">
        <v>233</v>
      </c>
      <c r="D453" t="s">
        <v>238</v>
      </c>
      <c r="E453" t="s">
        <v>236</v>
      </c>
      <c r="F453" t="s">
        <v>239</v>
      </c>
      <c r="G453" t="s">
        <v>231</v>
      </c>
      <c r="H453" t="s">
        <v>234</v>
      </c>
      <c r="I453" t="s">
        <v>229</v>
      </c>
      <c r="J453" t="str">
        <f t="shared" si="7"/>
        <v>111101100101</v>
      </c>
    </row>
    <row r="454" spans="1:10">
      <c r="A454">
        <v>453</v>
      </c>
      <c r="B454" t="s">
        <v>237</v>
      </c>
      <c r="C454" t="s">
        <v>233</v>
      </c>
      <c r="D454" t="s">
        <v>238</v>
      </c>
      <c r="E454" t="s">
        <v>236</v>
      </c>
      <c r="F454" t="s">
        <v>239</v>
      </c>
      <c r="G454" t="s">
        <v>231</v>
      </c>
      <c r="H454" t="s">
        <v>229</v>
      </c>
      <c r="I454" t="s">
        <v>235</v>
      </c>
      <c r="J454" t="str">
        <f t="shared" si="7"/>
        <v>111101100110</v>
      </c>
    </row>
    <row r="455" spans="1:10">
      <c r="A455">
        <v>454</v>
      </c>
      <c r="B455" t="s">
        <v>237</v>
      </c>
      <c r="C455" t="s">
        <v>233</v>
      </c>
      <c r="D455" t="s">
        <v>238</v>
      </c>
      <c r="E455" t="s">
        <v>236</v>
      </c>
      <c r="F455" t="s">
        <v>239</v>
      </c>
      <c r="G455" t="s">
        <v>231</v>
      </c>
      <c r="H455" t="s">
        <v>234</v>
      </c>
      <c r="I455" t="s">
        <v>230</v>
      </c>
      <c r="J455" t="str">
        <f t="shared" si="7"/>
        <v>111101101001</v>
      </c>
    </row>
    <row r="456" spans="1:10">
      <c r="A456">
        <v>455</v>
      </c>
      <c r="B456" t="s">
        <v>237</v>
      </c>
      <c r="C456" t="s">
        <v>233</v>
      </c>
      <c r="D456" t="s">
        <v>238</v>
      </c>
      <c r="E456" t="s">
        <v>236</v>
      </c>
      <c r="F456" t="s">
        <v>239</v>
      </c>
      <c r="G456" t="s">
        <v>231</v>
      </c>
      <c r="H456" t="s">
        <v>230</v>
      </c>
      <c r="I456" t="s">
        <v>235</v>
      </c>
      <c r="J456" t="str">
        <f t="shared" si="7"/>
        <v>111101101010</v>
      </c>
    </row>
    <row r="457" spans="1:10">
      <c r="A457">
        <v>456</v>
      </c>
      <c r="B457" t="s">
        <v>237</v>
      </c>
      <c r="C457" t="s">
        <v>233</v>
      </c>
      <c r="D457" t="s">
        <v>238</v>
      </c>
      <c r="E457" t="s">
        <v>236</v>
      </c>
      <c r="F457" t="s">
        <v>239</v>
      </c>
      <c r="G457" t="s">
        <v>231</v>
      </c>
      <c r="H457" t="s">
        <v>230</v>
      </c>
      <c r="I457" t="s">
        <v>229</v>
      </c>
      <c r="J457" t="str">
        <f t="shared" si="7"/>
        <v>111101101100</v>
      </c>
    </row>
    <row r="458" spans="1:10">
      <c r="A458">
        <v>457</v>
      </c>
      <c r="B458" t="s">
        <v>237</v>
      </c>
      <c r="C458" t="s">
        <v>233</v>
      </c>
      <c r="D458" t="s">
        <v>238</v>
      </c>
      <c r="E458" t="s">
        <v>236</v>
      </c>
      <c r="F458" t="s">
        <v>239</v>
      </c>
      <c r="G458" t="s">
        <v>231</v>
      </c>
      <c r="H458" t="s">
        <v>234</v>
      </c>
      <c r="I458" t="s">
        <v>232</v>
      </c>
      <c r="J458" t="str">
        <f t="shared" si="7"/>
        <v>111101110001</v>
      </c>
    </row>
    <row r="459" spans="1:10">
      <c r="A459">
        <v>458</v>
      </c>
      <c r="B459" t="s">
        <v>232</v>
      </c>
      <c r="C459" t="s">
        <v>233</v>
      </c>
      <c r="D459" t="s">
        <v>238</v>
      </c>
      <c r="E459" t="s">
        <v>237</v>
      </c>
      <c r="F459" t="s">
        <v>239</v>
      </c>
      <c r="G459" t="s">
        <v>231</v>
      </c>
      <c r="H459" t="s">
        <v>236</v>
      </c>
      <c r="I459" t="s">
        <v>235</v>
      </c>
      <c r="J459" t="str">
        <f t="shared" si="7"/>
        <v>111101110010</v>
      </c>
    </row>
    <row r="460" spans="1:10">
      <c r="A460">
        <v>459</v>
      </c>
      <c r="B460" t="s">
        <v>232</v>
      </c>
      <c r="C460" t="s">
        <v>233</v>
      </c>
      <c r="D460" t="s">
        <v>238</v>
      </c>
      <c r="E460" t="s">
        <v>237</v>
      </c>
      <c r="F460" t="s">
        <v>239</v>
      </c>
      <c r="G460" t="s">
        <v>231</v>
      </c>
      <c r="H460" t="s">
        <v>236</v>
      </c>
      <c r="I460" t="s">
        <v>229</v>
      </c>
      <c r="J460" t="str">
        <f t="shared" si="7"/>
        <v>111101110100</v>
      </c>
    </row>
    <row r="461" spans="1:10">
      <c r="A461">
        <v>460</v>
      </c>
      <c r="B461" t="s">
        <v>232</v>
      </c>
      <c r="C461" t="s">
        <v>233</v>
      </c>
      <c r="D461" t="s">
        <v>238</v>
      </c>
      <c r="E461" t="s">
        <v>237</v>
      </c>
      <c r="F461" t="s">
        <v>239</v>
      </c>
      <c r="G461" t="s">
        <v>231</v>
      </c>
      <c r="H461" t="s">
        <v>236</v>
      </c>
      <c r="I461" t="s">
        <v>230</v>
      </c>
      <c r="J461" t="str">
        <f t="shared" si="7"/>
        <v>111101111000</v>
      </c>
    </row>
    <row r="462" spans="1:10">
      <c r="A462">
        <v>461</v>
      </c>
      <c r="B462" t="s">
        <v>228</v>
      </c>
      <c r="C462" t="s">
        <v>229</v>
      </c>
      <c r="D462" t="s">
        <v>238</v>
      </c>
      <c r="E462" t="s">
        <v>237</v>
      </c>
      <c r="F462" t="s">
        <v>239</v>
      </c>
      <c r="G462" t="s">
        <v>236</v>
      </c>
      <c r="H462" t="s">
        <v>234</v>
      </c>
      <c r="I462" t="s">
        <v>235</v>
      </c>
      <c r="J462" t="str">
        <f t="shared" si="7"/>
        <v>111110000111</v>
      </c>
    </row>
    <row r="463" spans="1:10">
      <c r="A463">
        <v>462</v>
      </c>
      <c r="B463" t="s">
        <v>228</v>
      </c>
      <c r="C463" t="s">
        <v>230</v>
      </c>
      <c r="D463" t="s">
        <v>238</v>
      </c>
      <c r="E463" t="s">
        <v>237</v>
      </c>
      <c r="F463" t="s">
        <v>239</v>
      </c>
      <c r="G463" t="s">
        <v>236</v>
      </c>
      <c r="H463" t="s">
        <v>234</v>
      </c>
      <c r="I463" t="s">
        <v>235</v>
      </c>
      <c r="J463" t="str">
        <f t="shared" si="7"/>
        <v>111110001011</v>
      </c>
    </row>
    <row r="464" spans="1:10">
      <c r="A464">
        <v>463</v>
      </c>
      <c r="B464" t="s">
        <v>228</v>
      </c>
      <c r="C464" t="s">
        <v>229</v>
      </c>
      <c r="D464" t="s">
        <v>238</v>
      </c>
      <c r="E464" t="s">
        <v>237</v>
      </c>
      <c r="F464" t="s">
        <v>239</v>
      </c>
      <c r="G464" t="s">
        <v>236</v>
      </c>
      <c r="H464" t="s">
        <v>234</v>
      </c>
      <c r="I464" t="s">
        <v>230</v>
      </c>
      <c r="J464" t="str">
        <f t="shared" si="7"/>
        <v>111110001101</v>
      </c>
    </row>
    <row r="465" spans="1:10">
      <c r="A465">
        <v>464</v>
      </c>
      <c r="B465" t="s">
        <v>228</v>
      </c>
      <c r="C465" t="s">
        <v>229</v>
      </c>
      <c r="D465" t="s">
        <v>238</v>
      </c>
      <c r="E465" t="s">
        <v>237</v>
      </c>
      <c r="F465" t="s">
        <v>239</v>
      </c>
      <c r="G465" t="s">
        <v>236</v>
      </c>
      <c r="H465" t="s">
        <v>230</v>
      </c>
      <c r="I465" t="s">
        <v>235</v>
      </c>
      <c r="J465" t="str">
        <f t="shared" si="7"/>
        <v>111110001110</v>
      </c>
    </row>
    <row r="466" spans="1:10">
      <c r="A466">
        <v>465</v>
      </c>
      <c r="B466" t="s">
        <v>232</v>
      </c>
      <c r="C466" t="s">
        <v>228</v>
      </c>
      <c r="D466" t="s">
        <v>238</v>
      </c>
      <c r="E466" t="s">
        <v>237</v>
      </c>
      <c r="F466" t="s">
        <v>239</v>
      </c>
      <c r="G466" t="s">
        <v>236</v>
      </c>
      <c r="H466" t="s">
        <v>234</v>
      </c>
      <c r="I466" t="s">
        <v>235</v>
      </c>
      <c r="J466" t="str">
        <f t="shared" si="7"/>
        <v>111110010011</v>
      </c>
    </row>
    <row r="467" spans="1:10">
      <c r="A467">
        <v>466</v>
      </c>
      <c r="B467" t="s">
        <v>232</v>
      </c>
      <c r="C467" t="s">
        <v>229</v>
      </c>
      <c r="D467" t="s">
        <v>238</v>
      </c>
      <c r="E467" t="s">
        <v>237</v>
      </c>
      <c r="F467" t="s">
        <v>239</v>
      </c>
      <c r="G467" t="s">
        <v>236</v>
      </c>
      <c r="H467" t="s">
        <v>234</v>
      </c>
      <c r="I467" t="s">
        <v>228</v>
      </c>
      <c r="J467" t="str">
        <f t="shared" si="7"/>
        <v>111110010101</v>
      </c>
    </row>
    <row r="468" spans="1:10">
      <c r="A468">
        <v>467</v>
      </c>
      <c r="B468" t="s">
        <v>232</v>
      </c>
      <c r="C468" t="s">
        <v>229</v>
      </c>
      <c r="D468" t="s">
        <v>238</v>
      </c>
      <c r="E468" t="s">
        <v>237</v>
      </c>
      <c r="F468" t="s">
        <v>239</v>
      </c>
      <c r="G468" t="s">
        <v>236</v>
      </c>
      <c r="H468" t="s">
        <v>228</v>
      </c>
      <c r="I468" t="s">
        <v>235</v>
      </c>
      <c r="J468" t="str">
        <f t="shared" si="7"/>
        <v>111110010110</v>
      </c>
    </row>
    <row r="469" spans="1:10">
      <c r="A469">
        <v>468</v>
      </c>
      <c r="B469" t="s">
        <v>232</v>
      </c>
      <c r="C469" t="s">
        <v>228</v>
      </c>
      <c r="D469" t="s">
        <v>238</v>
      </c>
      <c r="E469" t="s">
        <v>237</v>
      </c>
      <c r="F469" t="s">
        <v>239</v>
      </c>
      <c r="G469" t="s">
        <v>236</v>
      </c>
      <c r="H469" t="s">
        <v>234</v>
      </c>
      <c r="I469" t="s">
        <v>230</v>
      </c>
      <c r="J469" t="str">
        <f t="shared" si="7"/>
        <v>111110011001</v>
      </c>
    </row>
    <row r="470" spans="1:10">
      <c r="A470">
        <v>469</v>
      </c>
      <c r="B470" t="s">
        <v>232</v>
      </c>
      <c r="C470" t="s">
        <v>228</v>
      </c>
      <c r="D470" t="s">
        <v>238</v>
      </c>
      <c r="E470" t="s">
        <v>237</v>
      </c>
      <c r="F470" t="s">
        <v>239</v>
      </c>
      <c r="G470" t="s">
        <v>236</v>
      </c>
      <c r="H470" t="s">
        <v>230</v>
      </c>
      <c r="I470" t="s">
        <v>235</v>
      </c>
      <c r="J470" t="str">
        <f t="shared" si="7"/>
        <v>111110011010</v>
      </c>
    </row>
    <row r="471" spans="1:10">
      <c r="A471">
        <v>470</v>
      </c>
      <c r="B471" t="s">
        <v>232</v>
      </c>
      <c r="C471" t="s">
        <v>229</v>
      </c>
      <c r="D471" t="s">
        <v>238</v>
      </c>
      <c r="E471" t="s">
        <v>237</v>
      </c>
      <c r="F471" t="s">
        <v>239</v>
      </c>
      <c r="G471" t="s">
        <v>236</v>
      </c>
      <c r="H471" t="s">
        <v>228</v>
      </c>
      <c r="I471" t="s">
        <v>230</v>
      </c>
      <c r="J471" t="str">
        <f t="shared" si="7"/>
        <v>111110011100</v>
      </c>
    </row>
    <row r="472" spans="1:10">
      <c r="A472">
        <v>471</v>
      </c>
      <c r="B472" t="s">
        <v>228</v>
      </c>
      <c r="C472" t="s">
        <v>233</v>
      </c>
      <c r="D472" t="s">
        <v>238</v>
      </c>
      <c r="E472" t="s">
        <v>237</v>
      </c>
      <c r="F472" t="s">
        <v>239</v>
      </c>
      <c r="G472" t="s">
        <v>236</v>
      </c>
      <c r="H472" t="s">
        <v>234</v>
      </c>
      <c r="I472" t="s">
        <v>235</v>
      </c>
      <c r="J472" t="str">
        <f t="shared" si="7"/>
        <v>111110100011</v>
      </c>
    </row>
    <row r="473" spans="1:10">
      <c r="A473">
        <v>472</v>
      </c>
      <c r="B473" t="s">
        <v>228</v>
      </c>
      <c r="C473" t="s">
        <v>233</v>
      </c>
      <c r="D473" t="s">
        <v>238</v>
      </c>
      <c r="E473" t="s">
        <v>237</v>
      </c>
      <c r="F473" t="s">
        <v>239</v>
      </c>
      <c r="G473" t="s">
        <v>236</v>
      </c>
      <c r="H473" t="s">
        <v>234</v>
      </c>
      <c r="I473" t="s">
        <v>229</v>
      </c>
      <c r="J473" t="str">
        <f t="shared" si="7"/>
        <v>111110100101</v>
      </c>
    </row>
    <row r="474" spans="1:10">
      <c r="A474">
        <v>473</v>
      </c>
      <c r="B474" t="s">
        <v>228</v>
      </c>
      <c r="C474" t="s">
        <v>233</v>
      </c>
      <c r="D474" t="s">
        <v>238</v>
      </c>
      <c r="E474" t="s">
        <v>237</v>
      </c>
      <c r="F474" t="s">
        <v>239</v>
      </c>
      <c r="G474" t="s">
        <v>236</v>
      </c>
      <c r="H474" t="s">
        <v>229</v>
      </c>
      <c r="I474" t="s">
        <v>235</v>
      </c>
      <c r="J474" t="str">
        <f t="shared" si="7"/>
        <v>111110100110</v>
      </c>
    </row>
    <row r="475" spans="1:10">
      <c r="A475">
        <v>474</v>
      </c>
      <c r="B475" t="s">
        <v>228</v>
      </c>
      <c r="C475" t="s">
        <v>233</v>
      </c>
      <c r="D475" t="s">
        <v>238</v>
      </c>
      <c r="E475" t="s">
        <v>237</v>
      </c>
      <c r="F475" t="s">
        <v>239</v>
      </c>
      <c r="G475" t="s">
        <v>236</v>
      </c>
      <c r="H475" t="s">
        <v>234</v>
      </c>
      <c r="I475" t="s">
        <v>230</v>
      </c>
      <c r="J475" t="str">
        <f t="shared" si="7"/>
        <v>111110101001</v>
      </c>
    </row>
    <row r="476" spans="1:10">
      <c r="A476">
        <v>475</v>
      </c>
      <c r="B476" t="s">
        <v>228</v>
      </c>
      <c r="C476" t="s">
        <v>233</v>
      </c>
      <c r="D476" t="s">
        <v>238</v>
      </c>
      <c r="E476" t="s">
        <v>237</v>
      </c>
      <c r="F476" t="s">
        <v>239</v>
      </c>
      <c r="G476" t="s">
        <v>236</v>
      </c>
      <c r="H476" t="s">
        <v>230</v>
      </c>
      <c r="I476" t="s">
        <v>235</v>
      </c>
      <c r="J476" t="str">
        <f t="shared" si="7"/>
        <v>111110101010</v>
      </c>
    </row>
    <row r="477" spans="1:10">
      <c r="A477">
        <v>476</v>
      </c>
      <c r="B477" t="s">
        <v>228</v>
      </c>
      <c r="C477" t="s">
        <v>233</v>
      </c>
      <c r="D477" t="s">
        <v>238</v>
      </c>
      <c r="E477" t="s">
        <v>237</v>
      </c>
      <c r="F477" t="s">
        <v>239</v>
      </c>
      <c r="G477" t="s">
        <v>236</v>
      </c>
      <c r="H477" t="s">
        <v>230</v>
      </c>
      <c r="I477" t="s">
        <v>229</v>
      </c>
      <c r="J477" t="str">
        <f t="shared" si="7"/>
        <v>111110101100</v>
      </c>
    </row>
    <row r="478" spans="1:10">
      <c r="A478">
        <v>477</v>
      </c>
      <c r="B478" t="s">
        <v>232</v>
      </c>
      <c r="C478" t="s">
        <v>233</v>
      </c>
      <c r="D478" t="s">
        <v>238</v>
      </c>
      <c r="E478" t="s">
        <v>237</v>
      </c>
      <c r="F478" t="s">
        <v>239</v>
      </c>
      <c r="G478" t="s">
        <v>236</v>
      </c>
      <c r="H478" t="s">
        <v>234</v>
      </c>
      <c r="I478" t="s">
        <v>228</v>
      </c>
      <c r="J478" t="str">
        <f t="shared" si="7"/>
        <v>111110110001</v>
      </c>
    </row>
    <row r="479" spans="1:10">
      <c r="A479">
        <v>478</v>
      </c>
      <c r="B479" t="s">
        <v>232</v>
      </c>
      <c r="C479" t="s">
        <v>233</v>
      </c>
      <c r="D479" t="s">
        <v>238</v>
      </c>
      <c r="E479" t="s">
        <v>237</v>
      </c>
      <c r="F479" t="s">
        <v>239</v>
      </c>
      <c r="G479" t="s">
        <v>236</v>
      </c>
      <c r="H479" t="s">
        <v>228</v>
      </c>
      <c r="I479" t="s">
        <v>235</v>
      </c>
      <c r="J479" t="str">
        <f t="shared" si="7"/>
        <v>111110110010</v>
      </c>
    </row>
    <row r="480" spans="1:10">
      <c r="A480">
        <v>479</v>
      </c>
      <c r="B480" t="s">
        <v>232</v>
      </c>
      <c r="C480" t="s">
        <v>233</v>
      </c>
      <c r="D480" t="s">
        <v>238</v>
      </c>
      <c r="E480" t="s">
        <v>237</v>
      </c>
      <c r="F480" t="s">
        <v>239</v>
      </c>
      <c r="G480" t="s">
        <v>236</v>
      </c>
      <c r="H480" t="s">
        <v>228</v>
      </c>
      <c r="I480" t="s">
        <v>229</v>
      </c>
      <c r="J480" t="str">
        <f t="shared" si="7"/>
        <v>111110110100</v>
      </c>
    </row>
    <row r="481" spans="1:10">
      <c r="A481">
        <v>480</v>
      </c>
      <c r="B481" t="s">
        <v>232</v>
      </c>
      <c r="C481" t="s">
        <v>233</v>
      </c>
      <c r="D481" t="s">
        <v>238</v>
      </c>
      <c r="E481" t="s">
        <v>237</v>
      </c>
      <c r="F481" t="s">
        <v>239</v>
      </c>
      <c r="G481" t="s">
        <v>236</v>
      </c>
      <c r="H481" t="s">
        <v>228</v>
      </c>
      <c r="I481" t="s">
        <v>230</v>
      </c>
      <c r="J481" t="str">
        <f t="shared" si="7"/>
        <v>111110111000</v>
      </c>
    </row>
    <row r="482" spans="1:10">
      <c r="A482">
        <v>481</v>
      </c>
      <c r="B482" t="s">
        <v>237</v>
      </c>
      <c r="C482" t="s">
        <v>228</v>
      </c>
      <c r="D482" t="s">
        <v>238</v>
      </c>
      <c r="E482" t="s">
        <v>236</v>
      </c>
      <c r="F482" t="s">
        <v>239</v>
      </c>
      <c r="G482" t="s">
        <v>231</v>
      </c>
      <c r="H482" t="s">
        <v>234</v>
      </c>
      <c r="I482" t="s">
        <v>235</v>
      </c>
      <c r="J482" t="str">
        <f t="shared" si="7"/>
        <v>111111000011</v>
      </c>
    </row>
    <row r="483" spans="1:10">
      <c r="A483">
        <v>482</v>
      </c>
      <c r="B483" t="s">
        <v>237</v>
      </c>
      <c r="C483" t="s">
        <v>229</v>
      </c>
      <c r="D483" t="s">
        <v>238</v>
      </c>
      <c r="E483" t="s">
        <v>236</v>
      </c>
      <c r="F483" t="s">
        <v>239</v>
      </c>
      <c r="G483" t="s">
        <v>231</v>
      </c>
      <c r="H483" t="s">
        <v>234</v>
      </c>
      <c r="I483" t="s">
        <v>228</v>
      </c>
      <c r="J483" t="str">
        <f t="shared" si="7"/>
        <v>111111000101</v>
      </c>
    </row>
    <row r="484" spans="1:10">
      <c r="A484">
        <v>483</v>
      </c>
      <c r="B484" t="s">
        <v>237</v>
      </c>
      <c r="C484" t="s">
        <v>229</v>
      </c>
      <c r="D484" t="s">
        <v>238</v>
      </c>
      <c r="E484" t="s">
        <v>236</v>
      </c>
      <c r="F484" t="s">
        <v>239</v>
      </c>
      <c r="G484" t="s">
        <v>231</v>
      </c>
      <c r="H484" t="s">
        <v>228</v>
      </c>
      <c r="I484" t="s">
        <v>235</v>
      </c>
      <c r="J484" t="str">
        <f t="shared" si="7"/>
        <v>111111000110</v>
      </c>
    </row>
    <row r="485" spans="1:10">
      <c r="A485">
        <v>484</v>
      </c>
      <c r="B485" t="s">
        <v>237</v>
      </c>
      <c r="C485" t="s">
        <v>228</v>
      </c>
      <c r="D485" t="s">
        <v>238</v>
      </c>
      <c r="E485" t="s">
        <v>236</v>
      </c>
      <c r="F485" t="s">
        <v>239</v>
      </c>
      <c r="G485" t="s">
        <v>231</v>
      </c>
      <c r="H485" t="s">
        <v>234</v>
      </c>
      <c r="I485" t="s">
        <v>230</v>
      </c>
      <c r="J485" t="str">
        <f t="shared" si="7"/>
        <v>111111001001</v>
      </c>
    </row>
    <row r="486" spans="1:10">
      <c r="A486">
        <v>485</v>
      </c>
      <c r="B486" t="s">
        <v>237</v>
      </c>
      <c r="C486" t="s">
        <v>228</v>
      </c>
      <c r="D486" t="s">
        <v>238</v>
      </c>
      <c r="E486" t="s">
        <v>236</v>
      </c>
      <c r="F486" t="s">
        <v>239</v>
      </c>
      <c r="G486" t="s">
        <v>231</v>
      </c>
      <c r="H486" t="s">
        <v>230</v>
      </c>
      <c r="I486" t="s">
        <v>235</v>
      </c>
      <c r="J486" t="str">
        <f t="shared" si="7"/>
        <v>111111001010</v>
      </c>
    </row>
    <row r="487" spans="1:10">
      <c r="A487">
        <v>486</v>
      </c>
      <c r="B487" t="s">
        <v>237</v>
      </c>
      <c r="C487" t="s">
        <v>229</v>
      </c>
      <c r="D487" t="s">
        <v>238</v>
      </c>
      <c r="E487" t="s">
        <v>236</v>
      </c>
      <c r="F487" t="s">
        <v>239</v>
      </c>
      <c r="G487" t="s">
        <v>231</v>
      </c>
      <c r="H487" t="s">
        <v>228</v>
      </c>
      <c r="I487" t="s">
        <v>230</v>
      </c>
      <c r="J487" t="str">
        <f t="shared" si="7"/>
        <v>111111001100</v>
      </c>
    </row>
    <row r="488" spans="1:10">
      <c r="A488">
        <v>487</v>
      </c>
      <c r="B488" t="s">
        <v>232</v>
      </c>
      <c r="C488" t="s">
        <v>231</v>
      </c>
      <c r="D488" t="s">
        <v>238</v>
      </c>
      <c r="E488" t="s">
        <v>237</v>
      </c>
      <c r="F488" t="s">
        <v>239</v>
      </c>
      <c r="G488" t="s">
        <v>236</v>
      </c>
      <c r="H488" t="s">
        <v>234</v>
      </c>
      <c r="I488" t="s">
        <v>228</v>
      </c>
      <c r="J488" t="str">
        <f t="shared" si="7"/>
        <v>111111010001</v>
      </c>
    </row>
    <row r="489" spans="1:10">
      <c r="A489">
        <v>488</v>
      </c>
      <c r="B489" t="s">
        <v>232</v>
      </c>
      <c r="C489" t="s">
        <v>228</v>
      </c>
      <c r="D489" t="s">
        <v>238</v>
      </c>
      <c r="E489" t="s">
        <v>237</v>
      </c>
      <c r="F489" t="s">
        <v>239</v>
      </c>
      <c r="G489" t="s">
        <v>231</v>
      </c>
      <c r="H489" t="s">
        <v>236</v>
      </c>
      <c r="I489" t="s">
        <v>235</v>
      </c>
      <c r="J489" t="str">
        <f t="shared" si="7"/>
        <v>111111010010</v>
      </c>
    </row>
    <row r="490" spans="1:10">
      <c r="A490">
        <v>489</v>
      </c>
      <c r="B490" t="s">
        <v>232</v>
      </c>
      <c r="C490" t="s">
        <v>229</v>
      </c>
      <c r="D490" t="s">
        <v>238</v>
      </c>
      <c r="E490" t="s">
        <v>237</v>
      </c>
      <c r="F490" t="s">
        <v>239</v>
      </c>
      <c r="G490" t="s">
        <v>231</v>
      </c>
      <c r="H490" t="s">
        <v>236</v>
      </c>
      <c r="I490" t="s">
        <v>228</v>
      </c>
      <c r="J490" t="str">
        <f t="shared" si="7"/>
        <v>111111010100</v>
      </c>
    </row>
    <row r="491" spans="1:10">
      <c r="A491">
        <v>490</v>
      </c>
      <c r="B491" t="s">
        <v>232</v>
      </c>
      <c r="C491" t="s">
        <v>228</v>
      </c>
      <c r="D491" t="s">
        <v>238</v>
      </c>
      <c r="E491" t="s">
        <v>237</v>
      </c>
      <c r="F491" t="s">
        <v>239</v>
      </c>
      <c r="G491" t="s">
        <v>231</v>
      </c>
      <c r="H491" t="s">
        <v>236</v>
      </c>
      <c r="I491" t="s">
        <v>230</v>
      </c>
      <c r="J491" t="str">
        <f t="shared" si="7"/>
        <v>111111011000</v>
      </c>
    </row>
    <row r="492" spans="1:10">
      <c r="A492">
        <v>491</v>
      </c>
      <c r="B492" t="s">
        <v>237</v>
      </c>
      <c r="C492" t="s">
        <v>233</v>
      </c>
      <c r="D492" t="s">
        <v>238</v>
      </c>
      <c r="E492" t="s">
        <v>236</v>
      </c>
      <c r="F492" t="s">
        <v>239</v>
      </c>
      <c r="G492" t="s">
        <v>231</v>
      </c>
      <c r="H492" t="s">
        <v>234</v>
      </c>
      <c r="I492" t="s">
        <v>228</v>
      </c>
      <c r="J492" t="str">
        <f t="shared" si="7"/>
        <v>111111100001</v>
      </c>
    </row>
    <row r="493" spans="1:10">
      <c r="A493">
        <v>492</v>
      </c>
      <c r="B493" t="s">
        <v>237</v>
      </c>
      <c r="C493" t="s">
        <v>233</v>
      </c>
      <c r="D493" t="s">
        <v>238</v>
      </c>
      <c r="E493" t="s">
        <v>236</v>
      </c>
      <c r="F493" t="s">
        <v>239</v>
      </c>
      <c r="G493" t="s">
        <v>231</v>
      </c>
      <c r="H493" t="s">
        <v>228</v>
      </c>
      <c r="I493" t="s">
        <v>235</v>
      </c>
      <c r="J493" t="str">
        <f t="shared" si="7"/>
        <v>111111100010</v>
      </c>
    </row>
    <row r="494" spans="1:10">
      <c r="A494">
        <v>493</v>
      </c>
      <c r="B494" t="s">
        <v>237</v>
      </c>
      <c r="C494" t="s">
        <v>233</v>
      </c>
      <c r="D494" t="s">
        <v>238</v>
      </c>
      <c r="E494" t="s">
        <v>236</v>
      </c>
      <c r="F494" t="s">
        <v>239</v>
      </c>
      <c r="G494" t="s">
        <v>231</v>
      </c>
      <c r="H494" t="s">
        <v>228</v>
      </c>
      <c r="I494" t="s">
        <v>229</v>
      </c>
      <c r="J494" t="str">
        <f t="shared" si="7"/>
        <v>111111100100</v>
      </c>
    </row>
    <row r="495" spans="1:10">
      <c r="A495">
        <v>494</v>
      </c>
      <c r="B495" t="s">
        <v>237</v>
      </c>
      <c r="C495" t="s">
        <v>233</v>
      </c>
      <c r="D495" t="s">
        <v>238</v>
      </c>
      <c r="E495" t="s">
        <v>236</v>
      </c>
      <c r="F495" t="s">
        <v>239</v>
      </c>
      <c r="G495" t="s">
        <v>231</v>
      </c>
      <c r="H495" t="s">
        <v>228</v>
      </c>
      <c r="I495" t="s">
        <v>230</v>
      </c>
      <c r="J495" t="str">
        <f t="shared" si="7"/>
        <v>111111101000</v>
      </c>
    </row>
    <row r="496" spans="1:10">
      <c r="A496">
        <v>495</v>
      </c>
      <c r="B496" t="s">
        <v>232</v>
      </c>
      <c r="C496" t="s">
        <v>233</v>
      </c>
      <c r="D496" t="s">
        <v>238</v>
      </c>
      <c r="E496" t="s">
        <v>237</v>
      </c>
      <c r="F496" t="s">
        <v>239</v>
      </c>
      <c r="G496" t="s">
        <v>231</v>
      </c>
      <c r="H496" t="s">
        <v>236</v>
      </c>
      <c r="I496" t="s">
        <v>228</v>
      </c>
      <c r="J496" t="str">
        <f t="shared" si="7"/>
        <v>111111110000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2026-04-01T11:18:43Z</dcterms:created>
  <dcterms:modified xsi:type="dcterms:W3CDTF">2026-05-03T22:07:38Z</dcterms:modified>
  <cp:category/>
  <cp:contentStatus/>
</cp:coreProperties>
</file>