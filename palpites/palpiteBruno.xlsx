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xr:revisionPtr revIDLastSave="0" documentId="8_{24716A70-523B-4DC3-A16F-126D7E55999F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Bolão" sheetId="1" r:id="rId1"/>
    <sheet name="Matriz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aXi70iBj5Y8cmcZSRKoWMrdaMwNmUlw1miFmavZj9+Y="/>
    </ext>
  </extLst>
</workbook>
</file>

<file path=xl/calcChain.xml><?xml version="1.0" encoding="utf-8"?>
<calcChain xmlns="http://schemas.openxmlformats.org/spreadsheetml/2006/main">
  <c r="AR82" i="1" l="1"/>
  <c r="J496" i="2"/>
  <c r="J495" i="2"/>
  <c r="J494" i="2"/>
  <c r="J493" i="2"/>
  <c r="J492" i="2"/>
  <c r="J491" i="2"/>
  <c r="J490" i="2"/>
  <c r="J489" i="2"/>
  <c r="J488" i="2"/>
  <c r="J487" i="2"/>
  <c r="J486" i="2"/>
  <c r="J485" i="2"/>
  <c r="J484" i="2"/>
  <c r="J483" i="2"/>
  <c r="J482" i="2"/>
  <c r="J481" i="2"/>
  <c r="J480" i="2"/>
  <c r="J479" i="2"/>
  <c r="J478" i="2"/>
  <c r="J477" i="2"/>
  <c r="J476" i="2"/>
  <c r="J475" i="2"/>
  <c r="J474" i="2"/>
  <c r="J473" i="2"/>
  <c r="J472" i="2"/>
  <c r="J471" i="2"/>
  <c r="J470" i="2"/>
  <c r="J469" i="2"/>
  <c r="J468" i="2"/>
  <c r="J467" i="2"/>
  <c r="J466" i="2"/>
  <c r="J465" i="2"/>
  <c r="J464" i="2"/>
  <c r="J463" i="2"/>
  <c r="J462" i="2"/>
  <c r="J461" i="2"/>
  <c r="J460" i="2"/>
  <c r="J459" i="2"/>
  <c r="J458" i="2"/>
  <c r="J457" i="2"/>
  <c r="J456" i="2"/>
  <c r="J455" i="2"/>
  <c r="J454" i="2"/>
  <c r="J453" i="2"/>
  <c r="J452" i="2"/>
  <c r="J451" i="2"/>
  <c r="J450" i="2"/>
  <c r="J449" i="2"/>
  <c r="J448" i="2"/>
  <c r="J447" i="2"/>
  <c r="J446" i="2"/>
  <c r="J445" i="2"/>
  <c r="J444" i="2"/>
  <c r="J443" i="2"/>
  <c r="J442" i="2"/>
  <c r="J441" i="2"/>
  <c r="J440" i="2"/>
  <c r="J439" i="2"/>
  <c r="J438" i="2"/>
  <c r="J437" i="2"/>
  <c r="J436" i="2"/>
  <c r="J435" i="2"/>
  <c r="J434" i="2"/>
  <c r="J433" i="2"/>
  <c r="J432" i="2"/>
  <c r="J431" i="2"/>
  <c r="J430" i="2"/>
  <c r="J429" i="2"/>
  <c r="J428" i="2"/>
  <c r="J427" i="2"/>
  <c r="J426" i="2"/>
  <c r="J425" i="2"/>
  <c r="J424" i="2"/>
  <c r="J423" i="2"/>
  <c r="J422" i="2"/>
  <c r="J421" i="2"/>
  <c r="J420" i="2"/>
  <c r="J419" i="2"/>
  <c r="J418" i="2"/>
  <c r="J417" i="2"/>
  <c r="J416" i="2"/>
  <c r="J415" i="2"/>
  <c r="J414" i="2"/>
  <c r="J413" i="2"/>
  <c r="J412" i="2"/>
  <c r="J411" i="2"/>
  <c r="J410" i="2"/>
  <c r="J409" i="2"/>
  <c r="J408" i="2"/>
  <c r="J407" i="2"/>
  <c r="J406" i="2"/>
  <c r="J405" i="2"/>
  <c r="J404" i="2"/>
  <c r="J403" i="2"/>
  <c r="J402" i="2"/>
  <c r="J401" i="2"/>
  <c r="J400" i="2"/>
  <c r="J399" i="2"/>
  <c r="J398" i="2"/>
  <c r="J397" i="2"/>
  <c r="J396" i="2"/>
  <c r="J395" i="2"/>
  <c r="J394" i="2"/>
  <c r="J393" i="2"/>
  <c r="J392" i="2"/>
  <c r="J391" i="2"/>
  <c r="J390" i="2"/>
  <c r="J389" i="2"/>
  <c r="J388" i="2"/>
  <c r="J387" i="2"/>
  <c r="J386" i="2"/>
  <c r="J385" i="2"/>
  <c r="J384" i="2"/>
  <c r="J383" i="2"/>
  <c r="J382" i="2"/>
  <c r="J381" i="2"/>
  <c r="J380" i="2"/>
  <c r="J379" i="2"/>
  <c r="J378" i="2"/>
  <c r="J377" i="2"/>
  <c r="J376" i="2"/>
  <c r="J375" i="2"/>
  <c r="J374" i="2"/>
  <c r="J373" i="2"/>
  <c r="J372" i="2"/>
  <c r="J371" i="2"/>
  <c r="J370" i="2"/>
  <c r="J369" i="2"/>
  <c r="J368" i="2"/>
  <c r="J367" i="2"/>
  <c r="J366" i="2"/>
  <c r="J365" i="2"/>
  <c r="J364" i="2"/>
  <c r="J363" i="2"/>
  <c r="J362" i="2"/>
  <c r="J361" i="2"/>
  <c r="J360" i="2"/>
  <c r="J359" i="2"/>
  <c r="J358" i="2"/>
  <c r="J357" i="2"/>
  <c r="J356" i="2"/>
  <c r="J355" i="2"/>
  <c r="J354" i="2"/>
  <c r="J353" i="2"/>
  <c r="J352" i="2"/>
  <c r="J351" i="2"/>
  <c r="J350" i="2"/>
  <c r="J349" i="2"/>
  <c r="J348" i="2"/>
  <c r="J347" i="2"/>
  <c r="J346" i="2"/>
  <c r="J345" i="2"/>
  <c r="J344" i="2"/>
  <c r="J343" i="2"/>
  <c r="J342" i="2"/>
  <c r="J341" i="2"/>
  <c r="J340" i="2"/>
  <c r="J339" i="2"/>
  <c r="J338" i="2"/>
  <c r="J337" i="2"/>
  <c r="J336" i="2"/>
  <c r="J335" i="2"/>
  <c r="J334" i="2"/>
  <c r="J333" i="2"/>
  <c r="J332" i="2"/>
  <c r="J331" i="2"/>
  <c r="J330" i="2"/>
  <c r="J329" i="2"/>
  <c r="J328" i="2"/>
  <c r="J327" i="2"/>
  <c r="J326" i="2"/>
  <c r="J325" i="2"/>
  <c r="J324" i="2"/>
  <c r="J323" i="2"/>
  <c r="J322" i="2"/>
  <c r="J321" i="2"/>
  <c r="J320" i="2"/>
  <c r="J319" i="2"/>
  <c r="J318" i="2"/>
  <c r="J317" i="2"/>
  <c r="J316" i="2"/>
  <c r="J315" i="2"/>
  <c r="J314" i="2"/>
  <c r="J313" i="2"/>
  <c r="J312" i="2"/>
  <c r="J311" i="2"/>
  <c r="J310" i="2"/>
  <c r="J309" i="2"/>
  <c r="J308" i="2"/>
  <c r="J307" i="2"/>
  <c r="J306" i="2"/>
  <c r="J305" i="2"/>
  <c r="J304" i="2"/>
  <c r="J303" i="2"/>
  <c r="J302" i="2"/>
  <c r="J301" i="2"/>
  <c r="J300" i="2"/>
  <c r="J299" i="2"/>
  <c r="J298" i="2"/>
  <c r="J297" i="2"/>
  <c r="J296" i="2"/>
  <c r="J295" i="2"/>
  <c r="J294" i="2"/>
  <c r="J293" i="2"/>
  <c r="J292" i="2"/>
  <c r="J291" i="2"/>
  <c r="J290" i="2"/>
  <c r="J289" i="2"/>
  <c r="J288" i="2"/>
  <c r="J287" i="2"/>
  <c r="J286" i="2"/>
  <c r="J285" i="2"/>
  <c r="J284" i="2"/>
  <c r="J283" i="2"/>
  <c r="J282" i="2"/>
  <c r="J281" i="2"/>
  <c r="J280" i="2"/>
  <c r="J279" i="2"/>
  <c r="J278" i="2"/>
  <c r="J277" i="2"/>
  <c r="J276" i="2"/>
  <c r="J275" i="2"/>
  <c r="J274" i="2"/>
  <c r="J273" i="2"/>
  <c r="J272" i="2"/>
  <c r="J271" i="2"/>
  <c r="J270" i="2"/>
  <c r="J269" i="2"/>
  <c r="J268" i="2"/>
  <c r="J267" i="2"/>
  <c r="J266" i="2"/>
  <c r="J265" i="2"/>
  <c r="J264" i="2"/>
  <c r="J263" i="2"/>
  <c r="J262" i="2"/>
  <c r="J261" i="2"/>
  <c r="J260" i="2"/>
  <c r="J259" i="2"/>
  <c r="J258" i="2"/>
  <c r="J257" i="2"/>
  <c r="J256" i="2"/>
  <c r="J255" i="2"/>
  <c r="J254" i="2"/>
  <c r="J253" i="2"/>
  <c r="J252" i="2"/>
  <c r="J251" i="2"/>
  <c r="J250" i="2"/>
  <c r="J249" i="2"/>
  <c r="J248" i="2"/>
  <c r="J247" i="2"/>
  <c r="J246" i="2"/>
  <c r="J245" i="2"/>
  <c r="J244" i="2"/>
  <c r="J243" i="2"/>
  <c r="J242" i="2"/>
  <c r="J241" i="2"/>
  <c r="J240" i="2"/>
  <c r="J239" i="2"/>
  <c r="J238" i="2"/>
  <c r="J237" i="2"/>
  <c r="J236" i="2"/>
  <c r="J235" i="2"/>
  <c r="J234" i="2"/>
  <c r="J233" i="2"/>
  <c r="J232" i="2"/>
  <c r="J231" i="2"/>
  <c r="J230" i="2"/>
  <c r="J229" i="2"/>
  <c r="J228" i="2"/>
  <c r="J227" i="2"/>
  <c r="J226" i="2"/>
  <c r="J225" i="2"/>
  <c r="J224" i="2"/>
  <c r="J223" i="2"/>
  <c r="J222" i="2"/>
  <c r="J221" i="2"/>
  <c r="J220" i="2"/>
  <c r="J219" i="2"/>
  <c r="J218" i="2"/>
  <c r="J217" i="2"/>
  <c r="J216" i="2"/>
  <c r="J215" i="2"/>
  <c r="J214" i="2"/>
  <c r="J213" i="2"/>
  <c r="J212" i="2"/>
  <c r="J211" i="2"/>
  <c r="J210" i="2"/>
  <c r="J209" i="2"/>
  <c r="J208" i="2"/>
  <c r="J207" i="2"/>
  <c r="J206" i="2"/>
  <c r="J205" i="2"/>
  <c r="J204" i="2"/>
  <c r="J203" i="2"/>
  <c r="J202" i="2"/>
  <c r="J201" i="2"/>
  <c r="J200" i="2"/>
  <c r="J199" i="2"/>
  <c r="J198" i="2"/>
  <c r="J197" i="2"/>
  <c r="J196" i="2"/>
  <c r="J195" i="2"/>
  <c r="J194" i="2"/>
  <c r="J193" i="2"/>
  <c r="J192" i="2"/>
  <c r="J191" i="2"/>
  <c r="J190" i="2"/>
  <c r="J189" i="2"/>
  <c r="J188" i="2"/>
  <c r="J187" i="2"/>
  <c r="J186" i="2"/>
  <c r="J185" i="2"/>
  <c r="J184" i="2"/>
  <c r="J183" i="2"/>
  <c r="J182" i="2"/>
  <c r="J181" i="2"/>
  <c r="J180" i="2"/>
  <c r="J179" i="2"/>
  <c r="J178" i="2"/>
  <c r="J177" i="2"/>
  <c r="J176" i="2"/>
  <c r="J175" i="2"/>
  <c r="J174" i="2"/>
  <c r="J173" i="2"/>
  <c r="J172" i="2"/>
  <c r="J171" i="2"/>
  <c r="J170" i="2"/>
  <c r="J169" i="2"/>
  <c r="J168" i="2"/>
  <c r="J167" i="2"/>
  <c r="J166" i="2"/>
  <c r="J165" i="2"/>
  <c r="J164" i="2"/>
  <c r="J163" i="2"/>
  <c r="J162" i="2"/>
  <c r="J161" i="2"/>
  <c r="J160" i="2"/>
  <c r="J159" i="2"/>
  <c r="J158" i="2"/>
  <c r="J157" i="2"/>
  <c r="J156" i="2"/>
  <c r="J155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AX95" i="1"/>
  <c r="AW95" i="1"/>
  <c r="AR95" i="1"/>
  <c r="AQ95" i="1"/>
  <c r="AL95" i="1"/>
  <c r="AK95" i="1"/>
  <c r="AF95" i="1"/>
  <c r="AE95" i="1"/>
  <c r="AX94" i="1"/>
  <c r="AW94" i="1"/>
  <c r="AR94" i="1"/>
  <c r="AQ94" i="1"/>
  <c r="AL94" i="1"/>
  <c r="AK94" i="1"/>
  <c r="AF94" i="1"/>
  <c r="AE94" i="1"/>
  <c r="AX93" i="1"/>
  <c r="AW93" i="1"/>
  <c r="AR93" i="1"/>
  <c r="AQ93" i="1"/>
  <c r="AL93" i="1"/>
  <c r="AK93" i="1"/>
  <c r="AF93" i="1"/>
  <c r="AE93" i="1"/>
  <c r="AX92" i="1"/>
  <c r="AW92" i="1"/>
  <c r="AR92" i="1"/>
  <c r="AQ92" i="1"/>
  <c r="AL92" i="1"/>
  <c r="AK92" i="1"/>
  <c r="AF92" i="1"/>
  <c r="AE92" i="1"/>
  <c r="AX89" i="1"/>
  <c r="AW89" i="1"/>
  <c r="AR89" i="1"/>
  <c r="AQ89" i="1"/>
  <c r="AL89" i="1"/>
  <c r="AK89" i="1"/>
  <c r="AF89" i="1"/>
  <c r="AE89" i="1"/>
  <c r="AX88" i="1"/>
  <c r="AW88" i="1"/>
  <c r="AR88" i="1"/>
  <c r="AQ88" i="1"/>
  <c r="AL88" i="1"/>
  <c r="AK88" i="1"/>
  <c r="AF88" i="1"/>
  <c r="AE88" i="1"/>
  <c r="AX87" i="1"/>
  <c r="AW87" i="1"/>
  <c r="AR87" i="1"/>
  <c r="AQ87" i="1"/>
  <c r="AL87" i="1"/>
  <c r="AK87" i="1"/>
  <c r="AF87" i="1"/>
  <c r="AE87" i="1"/>
  <c r="AX86" i="1"/>
  <c r="AW86" i="1"/>
  <c r="AR86" i="1"/>
  <c r="AQ86" i="1"/>
  <c r="AL86" i="1"/>
  <c r="AK86" i="1"/>
  <c r="AF86" i="1"/>
  <c r="AE86" i="1"/>
  <c r="AX83" i="1"/>
  <c r="AW83" i="1"/>
  <c r="AR83" i="1"/>
  <c r="AQ83" i="1"/>
  <c r="AL83" i="1"/>
  <c r="AK83" i="1"/>
  <c r="AF83" i="1"/>
  <c r="AE83" i="1"/>
  <c r="AX82" i="1"/>
  <c r="AW82" i="1"/>
  <c r="AL82" i="1"/>
  <c r="AK82" i="1"/>
  <c r="AF82" i="1"/>
  <c r="AE82" i="1"/>
  <c r="AX81" i="1"/>
  <c r="AW81" i="1"/>
  <c r="AR81" i="1"/>
  <c r="AQ81" i="1"/>
  <c r="AL81" i="1"/>
  <c r="AK81" i="1"/>
  <c r="AF81" i="1"/>
  <c r="AE81" i="1"/>
  <c r="AX80" i="1"/>
  <c r="AW80" i="1"/>
  <c r="AR80" i="1"/>
  <c r="AQ80" i="1"/>
  <c r="AL80" i="1"/>
  <c r="AK80" i="1"/>
  <c r="AF80" i="1"/>
  <c r="AE80" i="1"/>
  <c r="Z49" i="1"/>
  <c r="Y49" i="1"/>
  <c r="Q49" i="1"/>
  <c r="P49" i="1"/>
  <c r="H49" i="1"/>
  <c r="G49" i="1"/>
  <c r="Z47" i="1"/>
  <c r="Y47" i="1"/>
  <c r="Q47" i="1"/>
  <c r="P47" i="1"/>
  <c r="H47" i="1"/>
  <c r="G47" i="1"/>
  <c r="Z45" i="1"/>
  <c r="Y45" i="1"/>
  <c r="Q45" i="1"/>
  <c r="P45" i="1"/>
  <c r="H45" i="1"/>
  <c r="G45" i="1"/>
  <c r="Z43" i="1"/>
  <c r="Y43" i="1"/>
  <c r="AP93" i="1" s="1"/>
  <c r="AS93" i="1" s="1"/>
  <c r="Q43" i="1"/>
  <c r="P43" i="1"/>
  <c r="H43" i="1"/>
  <c r="G43" i="1"/>
  <c r="AP92" i="1" s="1"/>
  <c r="AS92" i="1" s="1"/>
  <c r="Z41" i="1"/>
  <c r="AV94" i="1" s="1"/>
  <c r="AY94" i="1" s="1"/>
  <c r="Y41" i="1"/>
  <c r="AV93" i="1" s="1"/>
  <c r="AY93" i="1" s="1"/>
  <c r="Q41" i="1"/>
  <c r="P41" i="1"/>
  <c r="H41" i="1"/>
  <c r="G41" i="1"/>
  <c r="Z39" i="1"/>
  <c r="AV92" i="1" s="1"/>
  <c r="AY92" i="1" s="1"/>
  <c r="Y39" i="1"/>
  <c r="AV95" i="1" s="1"/>
  <c r="AY95" i="1" s="1"/>
  <c r="Q39" i="1"/>
  <c r="P39" i="1"/>
  <c r="H39" i="1"/>
  <c r="G39" i="1"/>
  <c r="Z37" i="1"/>
  <c r="Y37" i="1"/>
  <c r="Q37" i="1"/>
  <c r="P37" i="1"/>
  <c r="H37" i="1"/>
  <c r="G37" i="1"/>
  <c r="AI35" i="1"/>
  <c r="Z35" i="1"/>
  <c r="Y35" i="1"/>
  <c r="Q35" i="1"/>
  <c r="P35" i="1"/>
  <c r="H35" i="1"/>
  <c r="G35" i="1"/>
  <c r="AI34" i="1"/>
  <c r="AI33" i="1"/>
  <c r="Z33" i="1"/>
  <c r="Y33" i="1"/>
  <c r="Q33" i="1"/>
  <c r="P33" i="1"/>
  <c r="H33" i="1"/>
  <c r="G33" i="1"/>
  <c r="AI32" i="1"/>
  <c r="Z31" i="1"/>
  <c r="Y31" i="1"/>
  <c r="Q31" i="1"/>
  <c r="P31" i="1"/>
  <c r="H31" i="1"/>
  <c r="G31" i="1"/>
  <c r="Z29" i="1"/>
  <c r="AD95" i="1" s="1"/>
  <c r="AG95" i="1" s="1"/>
  <c r="Y29" i="1"/>
  <c r="AD94" i="1" s="1"/>
  <c r="AG94" i="1" s="1"/>
  <c r="Q29" i="1"/>
  <c r="P29" i="1"/>
  <c r="H29" i="1"/>
  <c r="G29" i="1"/>
  <c r="Z27" i="1"/>
  <c r="AD92" i="1" s="1"/>
  <c r="AG92" i="1" s="1"/>
  <c r="Y27" i="1"/>
  <c r="AD93" i="1" s="1"/>
  <c r="AG93" i="1" s="1"/>
  <c r="Q27" i="1"/>
  <c r="P27" i="1"/>
  <c r="H27" i="1"/>
  <c r="G27" i="1"/>
  <c r="AC26" i="1"/>
  <c r="Z25" i="1"/>
  <c r="Y25" i="1"/>
  <c r="Q25" i="1"/>
  <c r="P25" i="1"/>
  <c r="H25" i="1"/>
  <c r="G25" i="1"/>
  <c r="Z23" i="1"/>
  <c r="Y23" i="1"/>
  <c r="Q23" i="1"/>
  <c r="P23" i="1"/>
  <c r="H23" i="1"/>
  <c r="G23" i="1"/>
  <c r="Z21" i="1"/>
  <c r="Y21" i="1"/>
  <c r="Q21" i="1"/>
  <c r="P21" i="1"/>
  <c r="H21" i="1"/>
  <c r="G21" i="1"/>
  <c r="Z19" i="1"/>
  <c r="Y19" i="1"/>
  <c r="AJ89" i="1" s="1"/>
  <c r="AM89" i="1" s="1"/>
  <c r="Q19" i="1"/>
  <c r="P19" i="1"/>
  <c r="H19" i="1"/>
  <c r="G19" i="1"/>
  <c r="Z17" i="1"/>
  <c r="Y17" i="1"/>
  <c r="AD88" i="1" s="1"/>
  <c r="AG88" i="1" s="1"/>
  <c r="Q17" i="1"/>
  <c r="P17" i="1"/>
  <c r="H17" i="1"/>
  <c r="G17" i="1"/>
  <c r="Z15" i="1"/>
  <c r="AD87" i="1" s="1"/>
  <c r="AG87" i="1" s="1"/>
  <c r="Y15" i="1"/>
  <c r="Q15" i="1"/>
  <c r="P15" i="1"/>
  <c r="H15" i="1"/>
  <c r="G15" i="1"/>
  <c r="Z13" i="1"/>
  <c r="Y13" i="1"/>
  <c r="Q13" i="1"/>
  <c r="P13" i="1"/>
  <c r="AQ82" i="1" s="1"/>
  <c r="H13" i="1"/>
  <c r="G13" i="1"/>
  <c r="Z11" i="1"/>
  <c r="Y11" i="1"/>
  <c r="Q11" i="1"/>
  <c r="P11" i="1"/>
  <c r="H11" i="1"/>
  <c r="G11" i="1"/>
  <c r="Z9" i="1"/>
  <c r="AP80" i="1" s="1"/>
  <c r="AS80" i="1" s="1"/>
  <c r="Y9" i="1"/>
  <c r="AP82" i="1" s="1"/>
  <c r="AS82" i="1" s="1"/>
  <c r="Q9" i="1"/>
  <c r="P9" i="1"/>
  <c r="H9" i="1"/>
  <c r="G9" i="1"/>
  <c r="Z7" i="1"/>
  <c r="AP83" i="1" s="1"/>
  <c r="AS83" i="1" s="1"/>
  <c r="Y7" i="1"/>
  <c r="AP81" i="1" s="1"/>
  <c r="AS81" i="1" s="1"/>
  <c r="AC8" i="1" s="1"/>
  <c r="Q7" i="1"/>
  <c r="P7" i="1"/>
  <c r="H7" i="1"/>
  <c r="G7" i="1"/>
  <c r="Z5" i="1"/>
  <c r="AJ83" i="1" s="1"/>
  <c r="AM83" i="1" s="1"/>
  <c r="Y5" i="1"/>
  <c r="Q5" i="1"/>
  <c r="P5" i="1"/>
  <c r="H5" i="1"/>
  <c r="G5" i="1"/>
  <c r="AD82" i="1" s="1"/>
  <c r="AG82" i="1" s="1"/>
  <c r="Z3" i="1"/>
  <c r="AJ82" i="1" s="1"/>
  <c r="AM82" i="1" s="1"/>
  <c r="Y3" i="1"/>
  <c r="AJ80" i="1" s="1"/>
  <c r="AM80" i="1" s="1"/>
  <c r="Q3" i="1"/>
  <c r="P3" i="1"/>
  <c r="AD81" i="1" s="1"/>
  <c r="AG81" i="1" s="1"/>
  <c r="H3" i="1"/>
  <c r="AD83" i="1" s="1"/>
  <c r="AG83" i="1" s="1"/>
  <c r="G3" i="1"/>
  <c r="AD80" i="1" s="1"/>
  <c r="AG80" i="1" s="1"/>
  <c r="AC2" i="1"/>
  <c r="A72" i="1" l="1"/>
  <c r="J72" i="1" s="1"/>
  <c r="N96" i="1" s="1"/>
  <c r="AF2" i="1"/>
  <c r="AE2" i="1"/>
  <c r="AD2" i="1"/>
  <c r="AC5" i="1"/>
  <c r="AC4" i="1"/>
  <c r="AC3" i="1"/>
  <c r="AJ81" i="1"/>
  <c r="AM81" i="1" s="1"/>
  <c r="A63" i="1"/>
  <c r="J69" i="1" s="1"/>
  <c r="J96" i="1" s="1"/>
  <c r="S88" i="1" s="1"/>
  <c r="W93" i="1" s="1"/>
  <c r="AF8" i="1"/>
  <c r="AE8" i="1"/>
  <c r="AD8" i="1"/>
  <c r="AC11" i="1"/>
  <c r="AC10" i="1"/>
  <c r="AC9" i="1"/>
  <c r="AD86" i="1"/>
  <c r="AG86" i="1" s="1"/>
  <c r="AD89" i="1"/>
  <c r="AG89" i="1" s="1"/>
  <c r="AJ86" i="1"/>
  <c r="AM86" i="1" s="1"/>
  <c r="AJ87" i="1"/>
  <c r="AM87" i="1" s="1"/>
  <c r="AV80" i="1"/>
  <c r="AY80" i="1" s="1"/>
  <c r="AV81" i="1"/>
  <c r="AY81" i="1" s="1"/>
  <c r="AJ88" i="1"/>
  <c r="AM88" i="1" s="1"/>
  <c r="AV82" i="1"/>
  <c r="AY82" i="1" s="1"/>
  <c r="AV83" i="1"/>
  <c r="AY83" i="1" s="1"/>
  <c r="A66" i="1"/>
  <c r="N63" i="1" s="1"/>
  <c r="AF26" i="1"/>
  <c r="AE26" i="1"/>
  <c r="AD26" i="1"/>
  <c r="AC29" i="1"/>
  <c r="AC28" i="1"/>
  <c r="AC27" i="1"/>
  <c r="AV89" i="1"/>
  <c r="AY89" i="1" s="1"/>
  <c r="AV88" i="1"/>
  <c r="AY88" i="1" s="1"/>
  <c r="A75" i="1"/>
  <c r="N72" i="1" s="1"/>
  <c r="AL32" i="1"/>
  <c r="AK32" i="1"/>
  <c r="AJ32" i="1"/>
  <c r="AV87" i="1"/>
  <c r="AY87" i="1" s="1"/>
  <c r="AV86" i="1"/>
  <c r="AY86" i="1" s="1"/>
  <c r="E84" i="1"/>
  <c r="AL33" i="1"/>
  <c r="AK33" i="1"/>
  <c r="AJ33" i="1"/>
  <c r="BC91" i="1"/>
  <c r="AL34" i="1"/>
  <c r="BF91" i="1" s="1"/>
  <c r="AK34" i="1"/>
  <c r="BE91" i="1" s="1"/>
  <c r="AJ34" i="1"/>
  <c r="BD91" i="1" s="1"/>
  <c r="BG91" i="1" s="1"/>
  <c r="AP89" i="1"/>
  <c r="AS89" i="1" s="1"/>
  <c r="AP86" i="1"/>
  <c r="AS86" i="1" s="1"/>
  <c r="AL35" i="1"/>
  <c r="AK35" i="1"/>
  <c r="AJ35" i="1"/>
  <c r="AP88" i="1"/>
  <c r="AS88" i="1" s="1"/>
  <c r="AP87" i="1"/>
  <c r="AS87" i="1" s="1"/>
  <c r="AP94" i="1"/>
  <c r="AS94" i="1" s="1"/>
  <c r="AP95" i="1"/>
  <c r="AS95" i="1" s="1"/>
  <c r="AJ94" i="1"/>
  <c r="AM94" i="1" s="1"/>
  <c r="AJ93" i="1"/>
  <c r="AM93" i="1" s="1"/>
  <c r="AJ95" i="1"/>
  <c r="AM95" i="1" s="1"/>
  <c r="AJ92" i="1"/>
  <c r="AM92" i="1" s="1"/>
  <c r="AI29" i="1" l="1"/>
  <c r="AI28" i="1"/>
  <c r="AI27" i="1"/>
  <c r="AI26" i="1"/>
  <c r="AC35" i="1"/>
  <c r="AC34" i="1"/>
  <c r="AC33" i="1"/>
  <c r="AC32" i="1"/>
  <c r="AC23" i="1"/>
  <c r="AC22" i="1"/>
  <c r="AC21" i="1"/>
  <c r="AC20" i="1"/>
  <c r="AI23" i="1"/>
  <c r="AI22" i="1"/>
  <c r="AI21" i="1"/>
  <c r="AI20" i="1"/>
  <c r="E69" i="1"/>
  <c r="AF27" i="1"/>
  <c r="AE27" i="1"/>
  <c r="AD27" i="1"/>
  <c r="BC82" i="1"/>
  <c r="AF28" i="1"/>
  <c r="BF82" i="1" s="1"/>
  <c r="AE28" i="1"/>
  <c r="BE82" i="1" s="1"/>
  <c r="AD28" i="1"/>
  <c r="BD82" i="1" s="1"/>
  <c r="BG82" i="1" s="1"/>
  <c r="AF29" i="1"/>
  <c r="AE29" i="1"/>
  <c r="AD29" i="1"/>
  <c r="AI11" i="1"/>
  <c r="AI10" i="1"/>
  <c r="AI9" i="1"/>
  <c r="AI8" i="1"/>
  <c r="AI17" i="1"/>
  <c r="AI16" i="1"/>
  <c r="AI15" i="1"/>
  <c r="AI14" i="1"/>
  <c r="AC17" i="1"/>
  <c r="AC16" i="1"/>
  <c r="AC15" i="1"/>
  <c r="AC14" i="1"/>
  <c r="E60" i="1"/>
  <c r="AF9" i="1"/>
  <c r="AE9" i="1"/>
  <c r="AD9" i="1"/>
  <c r="BC86" i="1"/>
  <c r="AF10" i="1"/>
  <c r="BF86" i="1" s="1"/>
  <c r="AE10" i="1"/>
  <c r="BE86" i="1" s="1"/>
  <c r="AD10" i="1"/>
  <c r="BD86" i="1" s="1"/>
  <c r="BG86" i="1" s="1"/>
  <c r="AF11" i="1"/>
  <c r="AE11" i="1"/>
  <c r="AD11" i="1"/>
  <c r="AI2" i="1"/>
  <c r="AI5" i="1"/>
  <c r="AI4" i="1"/>
  <c r="AI3" i="1"/>
  <c r="A54" i="1"/>
  <c r="AF3" i="1"/>
  <c r="AE3" i="1"/>
  <c r="AD3" i="1"/>
  <c r="BC80" i="1"/>
  <c r="AF4" i="1"/>
  <c r="BF80" i="1" s="1"/>
  <c r="AE4" i="1"/>
  <c r="BE80" i="1" s="1"/>
  <c r="AD4" i="1"/>
  <c r="BD80" i="1" s="1"/>
  <c r="BG80" i="1" s="1"/>
  <c r="AF5" i="1"/>
  <c r="AE5" i="1"/>
  <c r="AD5" i="1"/>
  <c r="E54" i="1" l="1"/>
  <c r="J66" i="1" s="1"/>
  <c r="N90" i="1" s="1"/>
  <c r="AL3" i="1"/>
  <c r="AK3" i="1"/>
  <c r="AJ3" i="1"/>
  <c r="BC83" i="1"/>
  <c r="AL4" i="1"/>
  <c r="BF83" i="1" s="1"/>
  <c r="AK4" i="1"/>
  <c r="BE83" i="1" s="1"/>
  <c r="AJ4" i="1"/>
  <c r="BD83" i="1" s="1"/>
  <c r="BG83" i="1" s="1"/>
  <c r="AL5" i="1"/>
  <c r="AK5" i="1"/>
  <c r="AJ5" i="1"/>
  <c r="A90" i="1"/>
  <c r="J84" i="1" s="1"/>
  <c r="AL2" i="1"/>
  <c r="AK2" i="1"/>
  <c r="AJ2" i="1"/>
  <c r="A57" i="1"/>
  <c r="J63" i="1" s="1"/>
  <c r="J90" i="1" s="1"/>
  <c r="S85" i="1" s="1"/>
  <c r="S99" i="1" s="1"/>
  <c r="AF14" i="1"/>
  <c r="AE14" i="1"/>
  <c r="AD14" i="1"/>
  <c r="A69" i="1"/>
  <c r="N69" i="1" s="1"/>
  <c r="AF15" i="1"/>
  <c r="AE15" i="1"/>
  <c r="AD15" i="1"/>
  <c r="BC81" i="1"/>
  <c r="AF16" i="1"/>
  <c r="BF81" i="1" s="1"/>
  <c r="AE16" i="1"/>
  <c r="BE81" i="1" s="1"/>
  <c r="AD16" i="1"/>
  <c r="BD81" i="1" s="1"/>
  <c r="BG81" i="1" s="1"/>
  <c r="AF17" i="1"/>
  <c r="AE17" i="1"/>
  <c r="AD17" i="1"/>
  <c r="A60" i="1"/>
  <c r="N66" i="1" s="1"/>
  <c r="AL14" i="1"/>
  <c r="AK14" i="1"/>
  <c r="AJ14" i="1"/>
  <c r="E63" i="1"/>
  <c r="AL15" i="1"/>
  <c r="AK15" i="1"/>
  <c r="AJ15" i="1"/>
  <c r="BC84" i="1"/>
  <c r="AL16" i="1"/>
  <c r="BF84" i="1" s="1"/>
  <c r="AK16" i="1"/>
  <c r="BE84" i="1" s="1"/>
  <c r="AJ16" i="1"/>
  <c r="BD84" i="1" s="1"/>
  <c r="BG84" i="1" s="1"/>
  <c r="AL17" i="1"/>
  <c r="AK17" i="1"/>
  <c r="AJ17" i="1"/>
  <c r="A78" i="1"/>
  <c r="J78" i="1" s="1"/>
  <c r="AL8" i="1"/>
  <c r="AK8" i="1"/>
  <c r="AJ8" i="1"/>
  <c r="A99" i="1"/>
  <c r="AL9" i="1"/>
  <c r="AK9" i="1"/>
  <c r="AJ9" i="1"/>
  <c r="BC89" i="1"/>
  <c r="AL10" i="1"/>
  <c r="BF89" i="1" s="1"/>
  <c r="AK10" i="1"/>
  <c r="BE89" i="1" s="1"/>
  <c r="AJ10" i="1"/>
  <c r="BD89" i="1" s="1"/>
  <c r="BG89" i="1" s="1"/>
  <c r="AL11" i="1"/>
  <c r="AK11" i="1"/>
  <c r="AJ11" i="1"/>
  <c r="A87" i="1"/>
  <c r="AL20" i="1"/>
  <c r="AK20" i="1"/>
  <c r="AJ20" i="1"/>
  <c r="E93" i="1"/>
  <c r="J81" i="1" s="1"/>
  <c r="J99" i="1" s="1"/>
  <c r="AL21" i="1"/>
  <c r="AK21" i="1"/>
  <c r="AJ21" i="1"/>
  <c r="BC90" i="1"/>
  <c r="AL22" i="1"/>
  <c r="BF90" i="1" s="1"/>
  <c r="AK22" i="1"/>
  <c r="BE90" i="1" s="1"/>
  <c r="AJ22" i="1"/>
  <c r="BD90" i="1" s="1"/>
  <c r="BG90" i="1" s="1"/>
  <c r="AL23" i="1"/>
  <c r="AK23" i="1"/>
  <c r="AJ23" i="1"/>
  <c r="A81" i="1"/>
  <c r="N78" i="1" s="1"/>
  <c r="N93" i="1" s="1"/>
  <c r="AF20" i="1"/>
  <c r="AE20" i="1"/>
  <c r="AD20" i="1"/>
  <c r="E99" i="1"/>
  <c r="N81" i="1" s="1"/>
  <c r="AF21" i="1"/>
  <c r="AE21" i="1"/>
  <c r="AD21" i="1"/>
  <c r="BC87" i="1"/>
  <c r="AF22" i="1"/>
  <c r="BF87" i="1" s="1"/>
  <c r="AE22" i="1"/>
  <c r="BE87" i="1" s="1"/>
  <c r="AD22" i="1"/>
  <c r="BD87" i="1" s="1"/>
  <c r="BG87" i="1" s="1"/>
  <c r="AF23" i="1"/>
  <c r="AE23" i="1"/>
  <c r="AD23" i="1"/>
  <c r="A96" i="1"/>
  <c r="N84" i="1" s="1"/>
  <c r="N99" i="1" s="1"/>
  <c r="W88" i="1" s="1"/>
  <c r="W99" i="1" s="1"/>
  <c r="AB99" i="1" s="1"/>
  <c r="AF32" i="1"/>
  <c r="AE32" i="1"/>
  <c r="AD32" i="1"/>
  <c r="A84" i="1"/>
  <c r="J75" i="1" s="1"/>
  <c r="AF33" i="1"/>
  <c r="AE33" i="1"/>
  <c r="AD33" i="1"/>
  <c r="BC88" i="1"/>
  <c r="AF34" i="1"/>
  <c r="BF88" i="1" s="1"/>
  <c r="AE34" i="1"/>
  <c r="BE88" i="1" s="1"/>
  <c r="AD34" i="1"/>
  <c r="BD88" i="1" s="1"/>
  <c r="BG88" i="1" s="1"/>
  <c r="AF35" i="1"/>
  <c r="AE35" i="1"/>
  <c r="AD35" i="1"/>
  <c r="A93" i="1"/>
  <c r="AL26" i="1"/>
  <c r="AK26" i="1"/>
  <c r="AJ26" i="1"/>
  <c r="E87" i="1"/>
  <c r="N75" i="1" s="1"/>
  <c r="J93" i="1" s="1"/>
  <c r="W85" i="1" s="1"/>
  <c r="S93" i="1" s="1"/>
  <c r="AL27" i="1"/>
  <c r="AK27" i="1"/>
  <c r="AJ27" i="1"/>
  <c r="BC85" i="1"/>
  <c r="AL28" i="1"/>
  <c r="BF85" i="1" s="1"/>
  <c r="AK28" i="1"/>
  <c r="BE85" i="1" s="1"/>
  <c r="AJ28" i="1"/>
  <c r="BD85" i="1" s="1"/>
  <c r="BG85" i="1" s="1"/>
  <c r="AL29" i="1"/>
  <c r="AK29" i="1"/>
  <c r="AJ29" i="1"/>
  <c r="AC49" i="1" l="1"/>
  <c r="AC48" i="1"/>
  <c r="AC47" i="1"/>
  <c r="AC46" i="1"/>
  <c r="AC45" i="1"/>
  <c r="AC44" i="1"/>
  <c r="AC43" i="1"/>
  <c r="AC42" i="1"/>
  <c r="AC41" i="1"/>
  <c r="AC40" i="1"/>
  <c r="AC39" i="1"/>
  <c r="AC38" i="1"/>
  <c r="AG38" i="1" l="1"/>
  <c r="AF38" i="1"/>
  <c r="AE38" i="1"/>
  <c r="AD38" i="1"/>
  <c r="AG39" i="1"/>
  <c r="AF39" i="1"/>
  <c r="AE39" i="1"/>
  <c r="AD39" i="1"/>
  <c r="AG40" i="1"/>
  <c r="AF40" i="1"/>
  <c r="AE40" i="1"/>
  <c r="AD40" i="1"/>
  <c r="AG41" i="1"/>
  <c r="AF41" i="1"/>
  <c r="AE41" i="1"/>
  <c r="AD41" i="1"/>
  <c r="AG42" i="1"/>
  <c r="AF42" i="1"/>
  <c r="AE42" i="1"/>
  <c r="AD42" i="1"/>
  <c r="AG43" i="1"/>
  <c r="AF43" i="1"/>
  <c r="AE43" i="1"/>
  <c r="AD43" i="1"/>
  <c r="AG44" i="1"/>
  <c r="AF44" i="1"/>
  <c r="AE44" i="1"/>
  <c r="AD44" i="1"/>
  <c r="AG45" i="1"/>
  <c r="AF45" i="1"/>
  <c r="AE45" i="1"/>
  <c r="AD45" i="1"/>
  <c r="AG46" i="1"/>
  <c r="AF46" i="1"/>
  <c r="AE46" i="1"/>
  <c r="AD46" i="1"/>
  <c r="AG47" i="1"/>
  <c r="AF47" i="1"/>
  <c r="AE47" i="1"/>
  <c r="AD47" i="1"/>
  <c r="AG48" i="1"/>
  <c r="AF48" i="1"/>
  <c r="AE48" i="1"/>
  <c r="AD48" i="1"/>
  <c r="AG49" i="1"/>
  <c r="AF49" i="1"/>
  <c r="AE49" i="1"/>
  <c r="AD49" i="1"/>
  <c r="BI1" i="1" l="1"/>
  <c r="E96" i="1" l="1" a="1"/>
  <c r="E96" i="1" s="1"/>
  <c r="E90" i="1" a="1"/>
  <c r="E90" i="1" s="1"/>
  <c r="E81" i="1" a="1"/>
  <c r="E81" i="1" s="1"/>
  <c r="E78" i="1" a="1"/>
  <c r="E78" i="1" s="1"/>
  <c r="E75" i="1" a="1"/>
  <c r="E75" i="1" s="1"/>
  <c r="E72" i="1" a="1"/>
  <c r="E72" i="1" s="1"/>
  <c r="E66" i="1" a="1"/>
  <c r="E66" i="1" s="1"/>
  <c r="E57" i="1" a="1"/>
  <c r="E57" i="1" s="1"/>
</calcChain>
</file>

<file path=xl/sharedStrings.xml><?xml version="1.0" encoding="utf-8"?>
<sst xmlns="http://schemas.openxmlformats.org/spreadsheetml/2006/main" count="4717" uniqueCount="240">
  <si>
    <t>RODADA 1</t>
  </si>
  <si>
    <t>RODADA 2</t>
  </si>
  <si>
    <t>RODADA 3</t>
  </si>
  <si>
    <t>Grupo A</t>
  </si>
  <si>
    <t>P</t>
  </si>
  <si>
    <t>SG</t>
  </si>
  <si>
    <t>GP</t>
  </si>
  <si>
    <t>Grupo B</t>
  </si>
  <si>
    <t>Jogo 1</t>
  </si>
  <si>
    <t>Jogo 25</t>
  </si>
  <si>
    <t>Jogo 49</t>
  </si>
  <si>
    <t>México</t>
  </si>
  <si>
    <t>X</t>
  </si>
  <si>
    <t>África do Sul</t>
  </si>
  <si>
    <t>16:00</t>
  </si>
  <si>
    <t>Tchéquia</t>
  </si>
  <si>
    <t>13:00</t>
  </si>
  <si>
    <t>Suíça</t>
  </si>
  <si>
    <t>Canadá</t>
  </si>
  <si>
    <t>Jogo 2</t>
  </si>
  <si>
    <t>Jogo 26</t>
  </si>
  <si>
    <t>Jogo 50</t>
  </si>
  <si>
    <t>Coreia do Sul</t>
  </si>
  <si>
    <t>23:00</t>
  </si>
  <si>
    <t>Bósnia e H.</t>
  </si>
  <si>
    <t>Catar</t>
  </si>
  <si>
    <t>Jogo 3</t>
  </si>
  <si>
    <t>Jogo 27</t>
  </si>
  <si>
    <t>Jogo 51</t>
  </si>
  <si>
    <t>19:00</t>
  </si>
  <si>
    <t>Marrocos</t>
  </si>
  <si>
    <t>Haiti</t>
  </si>
  <si>
    <t>Grupo C</t>
  </si>
  <si>
    <t>Grupo D</t>
  </si>
  <si>
    <t>Jogo 4</t>
  </si>
  <si>
    <t>Jogo 28</t>
  </si>
  <si>
    <t>Jogo 52</t>
  </si>
  <si>
    <t>Estados Unidos</t>
  </si>
  <si>
    <t>Paraguai</t>
  </si>
  <si>
    <t>22:00</t>
  </si>
  <si>
    <t>Escócia</t>
  </si>
  <si>
    <t>Brasil</t>
  </si>
  <si>
    <t>Jogo 5</t>
  </si>
  <si>
    <t>Jogo 29</t>
  </si>
  <si>
    <t>Jogo 53</t>
  </si>
  <si>
    <t>Austrália</t>
  </si>
  <si>
    <t>Jogo 6</t>
  </si>
  <si>
    <t>Jogo 30</t>
  </si>
  <si>
    <t>Jogo 54</t>
  </si>
  <si>
    <t>Grupo E</t>
  </si>
  <si>
    <t>Grupo F</t>
  </si>
  <si>
    <t>Jogo 7</t>
  </si>
  <si>
    <t>Jogo 31</t>
  </si>
  <si>
    <t>Jogo 55</t>
  </si>
  <si>
    <t>21:30</t>
  </si>
  <si>
    <t>Curaçao</t>
  </si>
  <si>
    <t>Costa do Marfim</t>
  </si>
  <si>
    <t>17:00</t>
  </si>
  <si>
    <t>Jogo 8</t>
  </si>
  <si>
    <t>Jogo 32</t>
  </si>
  <si>
    <t>Jogo 56</t>
  </si>
  <si>
    <t>Turquia</t>
  </si>
  <si>
    <t>01:00</t>
  </si>
  <si>
    <t>00:00</t>
  </si>
  <si>
    <t>Equador</t>
  </si>
  <si>
    <t>Alemanha</t>
  </si>
  <si>
    <t>Jogo 9</t>
  </si>
  <si>
    <t>Jogo 33</t>
  </si>
  <si>
    <t>Jogo 57</t>
  </si>
  <si>
    <t>14:00</t>
  </si>
  <si>
    <t>Holanda</t>
  </si>
  <si>
    <t>Suécia</t>
  </si>
  <si>
    <t>Tunísia</t>
  </si>
  <si>
    <t>20:00</t>
  </si>
  <si>
    <t>Grupo G</t>
  </si>
  <si>
    <t>Grupo H</t>
  </si>
  <si>
    <t>Jogo 10</t>
  </si>
  <si>
    <t>Jogo 34</t>
  </si>
  <si>
    <t>Jogo 58</t>
  </si>
  <si>
    <t>Japão</t>
  </si>
  <si>
    <t>Jogo 11</t>
  </si>
  <si>
    <t>Jogo 35</t>
  </si>
  <si>
    <t>Jogo 59</t>
  </si>
  <si>
    <t>21:00</t>
  </si>
  <si>
    <t>Jogo 12</t>
  </si>
  <si>
    <t>Jogo 36</t>
  </si>
  <si>
    <t>Jogo 60</t>
  </si>
  <si>
    <t>Grupo I</t>
  </si>
  <si>
    <t>Grupo J</t>
  </si>
  <si>
    <t>Jogo 13</t>
  </si>
  <si>
    <t>Jogo 37</t>
  </si>
  <si>
    <t>Jogo 61</t>
  </si>
  <si>
    <t>Espanha</t>
  </si>
  <si>
    <t>Cabo Verde</t>
  </si>
  <si>
    <t>Arábia Saudita</t>
  </si>
  <si>
    <t>Noruega</t>
  </si>
  <si>
    <t>França</t>
  </si>
  <si>
    <t>Jogo 14</t>
  </si>
  <si>
    <t>Jogo 38</t>
  </si>
  <si>
    <t>Jogo 62</t>
  </si>
  <si>
    <t>Bélgica</t>
  </si>
  <si>
    <t>Egito</t>
  </si>
  <si>
    <t>Irã</t>
  </si>
  <si>
    <t>Senegal</t>
  </si>
  <si>
    <t>Iraque</t>
  </si>
  <si>
    <t>Jogo 15</t>
  </si>
  <si>
    <t>Jogo 39</t>
  </si>
  <si>
    <t>Jogo 63</t>
  </si>
  <si>
    <t>Uruguai</t>
  </si>
  <si>
    <t>Grupo K</t>
  </si>
  <si>
    <t>Grupo L</t>
  </si>
  <si>
    <t>Jogo 16</t>
  </si>
  <si>
    <t>Jogo 40</t>
  </si>
  <si>
    <t>Jogo 64</t>
  </si>
  <si>
    <t>Nova Zelândia</t>
  </si>
  <si>
    <t>Jogo 17</t>
  </si>
  <si>
    <t>Jogo 41</t>
  </si>
  <si>
    <t>Jogo 65</t>
  </si>
  <si>
    <t>Argentina</t>
  </si>
  <si>
    <t>Áustria</t>
  </si>
  <si>
    <t>Jogo 18</t>
  </si>
  <si>
    <t>Jogo 42</t>
  </si>
  <si>
    <t>Jogo 66</t>
  </si>
  <si>
    <t>18:00</t>
  </si>
  <si>
    <t>TERCEIROS</t>
  </si>
  <si>
    <t>Jogo 19</t>
  </si>
  <si>
    <t>Jogo 43</t>
  </si>
  <si>
    <t>Jogo 67</t>
  </si>
  <si>
    <t>Argélia</t>
  </si>
  <si>
    <t>Panamá</t>
  </si>
  <si>
    <t>Inglaterra</t>
  </si>
  <si>
    <t>Jogo 20</t>
  </si>
  <si>
    <t>Jogo 44</t>
  </si>
  <si>
    <t>Jogo 68</t>
  </si>
  <si>
    <t>Jordânia</t>
  </si>
  <si>
    <t>Croácia</t>
  </si>
  <si>
    <t>Gana</t>
  </si>
  <si>
    <t>Jogo 21</t>
  </si>
  <si>
    <t>Jogo 45</t>
  </si>
  <si>
    <t>Jogo 69</t>
  </si>
  <si>
    <t>Portugal</t>
  </si>
  <si>
    <t>RD Congo</t>
  </si>
  <si>
    <t>Uzbequistão</t>
  </si>
  <si>
    <t>Colômbia</t>
  </si>
  <si>
    <t>20:30</t>
  </si>
  <si>
    <t>Jogo 22</t>
  </si>
  <si>
    <t>Jogo 46</t>
  </si>
  <si>
    <t>Jogo 70</t>
  </si>
  <si>
    <t>Jogo 23</t>
  </si>
  <si>
    <t>Jogo 47</t>
  </si>
  <si>
    <t>Jogo 71</t>
  </si>
  <si>
    <t>Jogo 24</t>
  </si>
  <si>
    <t>Jogo 48</t>
  </si>
  <si>
    <t>Jogo 72</t>
  </si>
  <si>
    <t>16 AVOS DE FINAL</t>
  </si>
  <si>
    <t>Jogo 73</t>
  </si>
  <si>
    <t>pen.</t>
  </si>
  <si>
    <t>x</t>
  </si>
  <si>
    <t>Jogo 74</t>
  </si>
  <si>
    <t>17:30</t>
  </si>
  <si>
    <t>Jogo 75</t>
  </si>
  <si>
    <t>OITAVAS</t>
  </si>
  <si>
    <t>Jogo 76</t>
  </si>
  <si>
    <t>Jogo 89</t>
  </si>
  <si>
    <t>Jogo 77</t>
  </si>
  <si>
    <t>Jogo 90</t>
  </si>
  <si>
    <t>Jogo 78</t>
  </si>
  <si>
    <t>Jogo 91</t>
  </si>
  <si>
    <t>Jogo 79</t>
  </si>
  <si>
    <t>Jogo 92</t>
  </si>
  <si>
    <t>Jogo 80</t>
  </si>
  <si>
    <t>Jogo 93</t>
  </si>
  <si>
    <t>Jogo 81</t>
  </si>
  <si>
    <t>Jogo 94</t>
  </si>
  <si>
    <t>Jogo 82</t>
  </si>
  <si>
    <t>Jogo 95</t>
  </si>
  <si>
    <t>1º</t>
  </si>
  <si>
    <t>A</t>
  </si>
  <si>
    <t>2º</t>
  </si>
  <si>
    <t>E</t>
  </si>
  <si>
    <t>3º</t>
  </si>
  <si>
    <t>I</t>
  </si>
  <si>
    <t>Jogo 83</t>
  </si>
  <si>
    <t>Jogo 96</t>
  </si>
  <si>
    <t>SEMIFINAL</t>
  </si>
  <si>
    <t>4º</t>
  </si>
  <si>
    <t>B</t>
  </si>
  <si>
    <t>Jogo 101</t>
  </si>
  <si>
    <t>5º</t>
  </si>
  <si>
    <t>F</t>
  </si>
  <si>
    <t>6º</t>
  </si>
  <si>
    <t>J</t>
  </si>
  <si>
    <t>Jogo 84</t>
  </si>
  <si>
    <t>7º</t>
  </si>
  <si>
    <t>C</t>
  </si>
  <si>
    <t>Jogo 102</t>
  </si>
  <si>
    <t>8º</t>
  </si>
  <si>
    <t>G</t>
  </si>
  <si>
    <t>QUARTAS</t>
  </si>
  <si>
    <t>9º</t>
  </si>
  <si>
    <t>K</t>
  </si>
  <si>
    <t>Jogo 85</t>
  </si>
  <si>
    <t>Jogo 97</t>
  </si>
  <si>
    <t>10º</t>
  </si>
  <si>
    <t>D</t>
  </si>
  <si>
    <t>11º</t>
  </si>
  <si>
    <t>H</t>
  </si>
  <si>
    <t>12º</t>
  </si>
  <si>
    <t>L</t>
  </si>
  <si>
    <t>Jogo 86</t>
  </si>
  <si>
    <t>Jogo 98</t>
  </si>
  <si>
    <t>TERCEIRO LUGAR</t>
  </si>
  <si>
    <t>Jogo 87</t>
  </si>
  <si>
    <t>Jogo 99</t>
  </si>
  <si>
    <t>22:30</t>
  </si>
  <si>
    <t>Jogo 88</t>
  </si>
  <si>
    <t>Jogo 100</t>
  </si>
  <si>
    <t>FINAL</t>
  </si>
  <si>
    <t>CAMPEÃO</t>
  </si>
  <si>
    <t>15:00</t>
  </si>
  <si>
    <t>1A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</si>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</sst>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4">
    <font>
      <sz val="11"/>
      <color rgb="FF000000"/>
      <name val="Arial"/>
      <scheme val="minor"/>
    </font>
    <font>
      <sz val="11"/>
      <color theme="1"/>
      <name val="Calibri"/>
    </font>
    <font>
      <sz val="11"/>
      <name val="Arial"/>
    </font>
    <font>
      <sz val="11"/>
      <color rgb="FF000000"/>
      <name val="Calibri"/>
    </font>
  </fonts>
  <fills count="34">
    <fill>
      <patternFill patternType="none"/>
    </fill>
    <fill>
      <patternFill patternType="gray125"/>
    </fill>
    <fill>
      <patternFill patternType="solid">
        <fgColor rgb="FF333333"/>
        <bgColor rgb="FF333333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C6E0B4"/>
        <bgColor rgb="FFC6E0B4"/>
      </patternFill>
    </fill>
    <fill>
      <patternFill patternType="solid">
        <fgColor rgb="FFFADBD8"/>
        <bgColor rgb="FFFADBD8"/>
      </patternFill>
    </fill>
    <fill>
      <patternFill patternType="solid">
        <fgColor rgb="FFFFF2CC"/>
        <bgColor rgb="FFFFF2CC"/>
      </patternFill>
    </fill>
    <fill>
      <patternFill patternType="solid">
        <fgColor rgb="FFFFD700"/>
        <bgColor rgb="FFFFD700"/>
      </patternFill>
    </fill>
    <fill>
      <patternFill patternType="solid">
        <fgColor rgb="FF0070C0"/>
        <bgColor rgb="FF0070C0"/>
      </patternFill>
    </fill>
    <fill>
      <patternFill patternType="solid">
        <fgColor rgb="FFBDD7EE"/>
        <bgColor rgb="FFBDD7EE"/>
      </patternFill>
    </fill>
    <fill>
      <patternFill patternType="solid">
        <fgColor rgb="FF636262"/>
        <bgColor rgb="FF636262"/>
      </patternFill>
    </fill>
    <fill>
      <patternFill patternType="solid">
        <fgColor rgb="FFFF6F00"/>
        <bgColor rgb="FFFF6F00"/>
      </patternFill>
    </fill>
    <fill>
      <patternFill patternType="solid">
        <fgColor rgb="FFD9D9D9"/>
        <bgColor rgb="FFD9D9D9"/>
      </patternFill>
    </fill>
    <fill>
      <patternFill patternType="solid">
        <fgColor rgb="FFFCE4D6"/>
        <bgColor rgb="FFFCE4D6"/>
      </patternFill>
    </fill>
    <fill>
      <patternFill patternType="solid">
        <fgColor rgb="FF7030A0"/>
        <bgColor rgb="FF7030A0"/>
      </patternFill>
    </fill>
    <fill>
      <patternFill patternType="solid">
        <fgColor rgb="FFAD2121"/>
        <bgColor rgb="FFAD2121"/>
      </patternFill>
    </fill>
    <fill>
      <patternFill patternType="solid">
        <fgColor rgb="FFD9D2E9"/>
        <bgColor rgb="FFD9D2E9"/>
      </patternFill>
    </fill>
    <fill>
      <patternFill patternType="solid">
        <fgColor rgb="FFF29696"/>
        <bgColor rgb="FFF29696"/>
      </patternFill>
    </fill>
    <fill>
      <patternFill patternType="solid">
        <fgColor rgb="FF1D3E70"/>
        <bgColor rgb="FF1D3E70"/>
      </patternFill>
    </fill>
    <fill>
      <patternFill patternType="solid">
        <fgColor rgb="FF0787B5"/>
        <bgColor rgb="FF0787B5"/>
      </patternFill>
    </fill>
    <fill>
      <patternFill patternType="solid">
        <fgColor rgb="FFB4C6E7"/>
        <bgColor rgb="FFB4C6E7"/>
      </patternFill>
    </fill>
    <fill>
      <patternFill patternType="solid">
        <fgColor rgb="FFB2EBF2"/>
        <bgColor rgb="FFB2EBF2"/>
      </patternFill>
    </fill>
    <fill>
      <patternFill patternType="solid">
        <fgColor rgb="FF873905"/>
        <bgColor rgb="FF873905"/>
      </patternFill>
    </fill>
    <fill>
      <patternFill patternType="solid">
        <fgColor rgb="FFD624D6"/>
        <bgColor rgb="FFD624D6"/>
      </patternFill>
    </fill>
    <fill>
      <patternFill patternType="solid">
        <fgColor rgb="FFE6CCB2"/>
        <bgColor rgb="FFE6CCB2"/>
      </patternFill>
    </fill>
    <fill>
      <patternFill patternType="solid">
        <fgColor rgb="FFFAD0E4"/>
        <bgColor rgb="FFFAD0E4"/>
      </patternFill>
    </fill>
    <fill>
      <patternFill patternType="solid">
        <fgColor rgb="FFE7E6E6"/>
        <bgColor rgb="FFE7E6E6"/>
      </patternFill>
    </fill>
    <fill>
      <patternFill patternType="solid">
        <fgColor rgb="FF002060"/>
        <bgColor rgb="FF002060"/>
      </patternFill>
    </fill>
    <fill>
      <patternFill patternType="solid">
        <fgColor rgb="FFD9E1F2"/>
        <bgColor rgb="FFD9E1F2"/>
      </patternFill>
    </fill>
    <fill>
      <patternFill patternType="solid">
        <fgColor rgb="FFCD7F32"/>
        <bgColor rgb="FFCD7F32"/>
      </patternFill>
    </fill>
    <fill>
      <patternFill patternType="solid">
        <fgColor rgb="FFEAD0B8"/>
        <bgColor rgb="FFEAD0B8"/>
      </patternFill>
    </fill>
    <fill>
      <patternFill patternType="solid">
        <fgColor rgb="FFD4AF37"/>
        <bgColor rgb="FFD4AF37"/>
      </patternFill>
    </fill>
    <fill>
      <patternFill patternType="solid">
        <fgColor rgb="FFFCEBB6"/>
        <bgColor rgb="FFFCEBB6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4">
    <xf numFmtId="0" fontId="0" fillId="0" borderId="0" xfId="0" applyFont="1" applyAlignment="1"/>
    <xf numFmtId="0" fontId="1" fillId="0" borderId="0" xfId="0" applyFont="1"/>
    <xf numFmtId="0" fontId="1" fillId="3" borderId="1" xfId="0" applyFont="1" applyFill="1" applyBorder="1" applyAlignment="1">
      <alignment horizontal="right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right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center"/>
    </xf>
    <xf numFmtId="164" fontId="1" fillId="0" borderId="0" xfId="0" applyNumberFormat="1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5" borderId="1" xfId="0" applyFont="1" applyFill="1" applyBorder="1" applyAlignment="1">
      <alignment horizontal="right"/>
    </xf>
    <xf numFmtId="0" fontId="1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right"/>
    </xf>
    <xf numFmtId="0" fontId="1" fillId="6" borderId="1" xfId="0" applyFont="1" applyFill="1" applyBorder="1"/>
    <xf numFmtId="0" fontId="1" fillId="5" borderId="1" xfId="0" applyFont="1" applyFill="1" applyBorder="1"/>
    <xf numFmtId="49" fontId="1" fillId="0" borderId="0" xfId="0" quotePrefix="1" applyNumberFormat="1" applyFont="1" applyAlignment="1">
      <alignment horizontal="left" wrapText="1"/>
    </xf>
    <xf numFmtId="0" fontId="1" fillId="0" borderId="0" xfId="0" applyFont="1" applyAlignment="1">
      <alignment horizontal="left" wrapText="1"/>
    </xf>
    <xf numFmtId="49" fontId="1" fillId="0" borderId="0" xfId="0" applyNumberFormat="1" applyFont="1" applyAlignment="1">
      <alignment horizontal="left"/>
    </xf>
    <xf numFmtId="0" fontId="1" fillId="7" borderId="1" xfId="0" applyFont="1" applyFill="1" applyBorder="1" applyAlignment="1">
      <alignment horizontal="right"/>
    </xf>
    <xf numFmtId="0" fontId="1" fillId="7" borderId="1" xfId="0" applyFont="1" applyFill="1" applyBorder="1"/>
    <xf numFmtId="0" fontId="1" fillId="8" borderId="1" xfId="0" applyFont="1" applyFill="1" applyBorder="1" applyAlignment="1">
      <alignment horizontal="right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right"/>
    </xf>
    <xf numFmtId="0" fontId="1" fillId="9" borderId="1" xfId="0" applyFont="1" applyFill="1" applyBorder="1"/>
    <xf numFmtId="0" fontId="1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right"/>
    </xf>
    <xf numFmtId="0" fontId="1" fillId="10" borderId="1" xfId="0" applyFont="1" applyFill="1" applyBorder="1"/>
    <xf numFmtId="0" fontId="1" fillId="11" borderId="1" xfId="0" applyFont="1" applyFill="1" applyBorder="1" applyAlignment="1">
      <alignment horizontal="right"/>
    </xf>
    <xf numFmtId="0" fontId="1" fillId="11" borderId="1" xfId="0" applyFont="1" applyFill="1" applyBorder="1"/>
    <xf numFmtId="0" fontId="1" fillId="11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right"/>
    </xf>
    <xf numFmtId="0" fontId="1" fillId="12" borderId="1" xfId="0" applyFont="1" applyFill="1" applyBorder="1"/>
    <xf numFmtId="0" fontId="1" fillId="12" borderId="1" xfId="0" applyFont="1" applyFill="1" applyBorder="1" applyAlignment="1">
      <alignment horizontal="center"/>
    </xf>
    <xf numFmtId="0" fontId="1" fillId="13" borderId="1" xfId="0" applyFont="1" applyFill="1" applyBorder="1" applyAlignment="1">
      <alignment horizontal="right"/>
    </xf>
    <xf numFmtId="0" fontId="1" fillId="13" borderId="1" xfId="0" applyFont="1" applyFill="1" applyBorder="1"/>
    <xf numFmtId="0" fontId="1" fillId="14" borderId="1" xfId="0" applyFont="1" applyFill="1" applyBorder="1" applyAlignment="1">
      <alignment horizontal="right"/>
    </xf>
    <xf numFmtId="0" fontId="1" fillId="14" borderId="1" xfId="0" applyFont="1" applyFill="1" applyBorder="1"/>
    <xf numFmtId="0" fontId="1" fillId="15" borderId="1" xfId="0" applyFont="1" applyFill="1" applyBorder="1" applyAlignment="1">
      <alignment horizontal="right"/>
    </xf>
    <xf numFmtId="0" fontId="1" fillId="15" borderId="1" xfId="0" applyFont="1" applyFill="1" applyBorder="1"/>
    <xf numFmtId="0" fontId="1" fillId="15" borderId="1" xfId="0" applyFont="1" applyFill="1" applyBorder="1" applyAlignment="1">
      <alignment horizontal="center"/>
    </xf>
    <xf numFmtId="0" fontId="1" fillId="16" borderId="1" xfId="0" applyFont="1" applyFill="1" applyBorder="1" applyAlignment="1">
      <alignment horizontal="right"/>
    </xf>
    <xf numFmtId="0" fontId="1" fillId="16" borderId="1" xfId="0" applyFont="1" applyFill="1" applyBorder="1"/>
    <xf numFmtId="0" fontId="1" fillId="16" borderId="1" xfId="0" applyFont="1" applyFill="1" applyBorder="1" applyAlignment="1">
      <alignment horizontal="center"/>
    </xf>
    <xf numFmtId="0" fontId="1" fillId="17" borderId="1" xfId="0" applyFont="1" applyFill="1" applyBorder="1" applyAlignment="1">
      <alignment horizontal="right"/>
    </xf>
    <xf numFmtId="0" fontId="1" fillId="17" borderId="1" xfId="0" applyFont="1" applyFill="1" applyBorder="1"/>
    <xf numFmtId="0" fontId="1" fillId="18" borderId="1" xfId="0" applyFont="1" applyFill="1" applyBorder="1" applyAlignment="1">
      <alignment horizontal="right"/>
    </xf>
    <xf numFmtId="0" fontId="1" fillId="18" borderId="1" xfId="0" applyFont="1" applyFill="1" applyBorder="1"/>
    <xf numFmtId="0" fontId="1" fillId="19" borderId="1" xfId="0" applyFont="1" applyFill="1" applyBorder="1" applyAlignment="1">
      <alignment horizontal="right"/>
    </xf>
    <xf numFmtId="0" fontId="1" fillId="19" borderId="1" xfId="0" applyFont="1" applyFill="1" applyBorder="1"/>
    <xf numFmtId="0" fontId="1" fillId="19" borderId="1" xfId="0" applyFont="1" applyFill="1" applyBorder="1" applyAlignment="1">
      <alignment horizontal="center"/>
    </xf>
    <xf numFmtId="0" fontId="1" fillId="20" borderId="1" xfId="0" applyFont="1" applyFill="1" applyBorder="1" applyAlignment="1">
      <alignment horizontal="right"/>
    </xf>
    <xf numFmtId="0" fontId="1" fillId="20" borderId="1" xfId="0" applyFont="1" applyFill="1" applyBorder="1"/>
    <xf numFmtId="0" fontId="1" fillId="20" borderId="1" xfId="0" applyFont="1" applyFill="1" applyBorder="1" applyAlignment="1">
      <alignment horizontal="center"/>
    </xf>
    <xf numFmtId="0" fontId="1" fillId="21" borderId="1" xfId="0" applyFont="1" applyFill="1" applyBorder="1" applyAlignment="1">
      <alignment horizontal="right"/>
    </xf>
    <xf numFmtId="0" fontId="1" fillId="21" borderId="1" xfId="0" applyFont="1" applyFill="1" applyBorder="1"/>
    <xf numFmtId="0" fontId="1" fillId="22" borderId="1" xfId="0" applyFont="1" applyFill="1" applyBorder="1" applyAlignment="1">
      <alignment horizontal="right"/>
    </xf>
    <xf numFmtId="0" fontId="1" fillId="22" borderId="1" xfId="0" applyFont="1" applyFill="1" applyBorder="1"/>
    <xf numFmtId="0" fontId="1" fillId="23" borderId="1" xfId="0" applyFont="1" applyFill="1" applyBorder="1" applyAlignment="1">
      <alignment horizontal="right"/>
    </xf>
    <xf numFmtId="0" fontId="1" fillId="23" borderId="1" xfId="0" applyFont="1" applyFill="1" applyBorder="1"/>
    <xf numFmtId="0" fontId="1" fillId="23" borderId="1" xfId="0" applyFont="1" applyFill="1" applyBorder="1" applyAlignment="1">
      <alignment horizontal="center"/>
    </xf>
    <xf numFmtId="0" fontId="1" fillId="24" borderId="1" xfId="0" applyFont="1" applyFill="1" applyBorder="1" applyAlignment="1">
      <alignment horizontal="right"/>
    </xf>
    <xf numFmtId="0" fontId="1" fillId="24" borderId="1" xfId="0" applyFont="1" applyFill="1" applyBorder="1"/>
    <xf numFmtId="0" fontId="1" fillId="24" borderId="1" xfId="0" applyFont="1" applyFill="1" applyBorder="1" applyAlignment="1">
      <alignment horizontal="center"/>
    </xf>
    <xf numFmtId="0" fontId="1" fillId="25" borderId="1" xfId="0" applyFont="1" applyFill="1" applyBorder="1" applyAlignment="1">
      <alignment horizontal="right"/>
    </xf>
    <xf numFmtId="0" fontId="1" fillId="25" borderId="1" xfId="0" applyFont="1" applyFill="1" applyBorder="1"/>
    <xf numFmtId="0" fontId="1" fillId="26" borderId="1" xfId="0" applyFont="1" applyFill="1" applyBorder="1" applyAlignment="1">
      <alignment horizontal="right"/>
    </xf>
    <xf numFmtId="0" fontId="1" fillId="26" borderId="1" xfId="0" applyFont="1" applyFill="1" applyBorder="1"/>
    <xf numFmtId="0" fontId="1" fillId="2" borderId="1" xfId="0" applyFont="1" applyFill="1" applyBorder="1"/>
    <xf numFmtId="20" fontId="1" fillId="0" borderId="0" xfId="0" applyNumberFormat="1" applyFont="1" applyAlignment="1">
      <alignment horizontal="left"/>
    </xf>
    <xf numFmtId="0" fontId="1" fillId="27" borderId="1" xfId="0" applyFont="1" applyFill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27" borderId="1" xfId="0" applyFont="1" applyFill="1" applyBorder="1"/>
    <xf numFmtId="0" fontId="3" fillId="27" borderId="1" xfId="0" applyFont="1" applyFill="1" applyBorder="1" applyAlignment="1">
      <alignment horizontal="right"/>
    </xf>
    <xf numFmtId="0" fontId="1" fillId="27" borderId="1" xfId="0" applyFont="1" applyFill="1" applyBorder="1" applyAlignment="1">
      <alignment wrapText="1"/>
    </xf>
    <xf numFmtId="0" fontId="1" fillId="0" borderId="0" xfId="0" applyFont="1" applyAlignment="1"/>
    <xf numFmtId="0" fontId="1" fillId="29" borderId="1" xfId="0" applyFont="1" applyFill="1" applyBorder="1" applyAlignment="1">
      <alignment horizontal="right"/>
    </xf>
    <xf numFmtId="0" fontId="1" fillId="29" borderId="1" xfId="0" applyFont="1" applyFill="1" applyBorder="1"/>
    <xf numFmtId="0" fontId="1" fillId="29" borderId="1" xfId="0" applyFont="1" applyFill="1" applyBorder="1" applyAlignment="1">
      <alignment horizontal="left"/>
    </xf>
    <xf numFmtId="0" fontId="1" fillId="31" borderId="1" xfId="0" applyFont="1" applyFill="1" applyBorder="1" applyAlignment="1">
      <alignment horizontal="right"/>
    </xf>
    <xf numFmtId="0" fontId="1" fillId="31" borderId="1" xfId="0" applyFont="1" applyFill="1" applyBorder="1" applyAlignment="1">
      <alignment horizontal="center"/>
    </xf>
    <xf numFmtId="0" fontId="1" fillId="31" borderId="1" xfId="0" applyFont="1" applyFill="1" applyBorder="1"/>
    <xf numFmtId="0" fontId="1" fillId="33" borderId="1" xfId="0" applyFont="1" applyFill="1" applyBorder="1" applyAlignment="1">
      <alignment horizontal="right"/>
    </xf>
    <xf numFmtId="0" fontId="1" fillId="33" borderId="1" xfId="0" applyFont="1" applyFill="1" applyBorder="1" applyAlignment="1">
      <alignment horizontal="center"/>
    </xf>
    <xf numFmtId="0" fontId="1" fillId="33" borderId="1" xfId="0" applyFont="1" applyFill="1" applyBorder="1"/>
    <xf numFmtId="0" fontId="1" fillId="13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4" borderId="1" xfId="0" applyFont="1" applyFill="1" applyBorder="1" applyAlignment="1">
      <alignment horizontal="center"/>
    </xf>
    <xf numFmtId="0" fontId="1" fillId="18" borderId="1" xfId="0" applyFont="1" applyFill="1" applyBorder="1" applyAlignment="1">
      <alignment horizontal="center"/>
    </xf>
    <xf numFmtId="0" fontId="1" fillId="17" borderId="1" xfId="0" applyFont="1" applyFill="1" applyBorder="1" applyAlignment="1">
      <alignment horizontal="center"/>
    </xf>
    <xf numFmtId="0" fontId="1" fillId="21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Font="1" applyAlignment="1"/>
    <xf numFmtId="0" fontId="1" fillId="29" borderId="1" xfId="0" applyFont="1" applyFill="1" applyBorder="1" applyAlignment="1">
      <alignment horizontal="center"/>
    </xf>
    <xf numFmtId="0" fontId="1" fillId="27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26" borderId="1" xfId="0" applyFont="1" applyFill="1" applyBorder="1" applyAlignment="1">
      <alignment horizontal="center"/>
    </xf>
    <xf numFmtId="0" fontId="1" fillId="25" borderId="1" xfId="0" applyFont="1" applyFill="1" applyBorder="1" applyAlignment="1">
      <alignment horizontal="center"/>
    </xf>
    <xf numFmtId="0" fontId="1" fillId="22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Font="1" applyAlignment="1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/>
    <xf numFmtId="0" fontId="1" fillId="27" borderId="1" xfId="0" applyFont="1" applyFill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25" borderId="1" xfId="0" applyFont="1" applyFill="1" applyBorder="1" applyAlignment="1">
      <alignment horizontal="center"/>
    </xf>
    <xf numFmtId="0" fontId="1" fillId="22" borderId="1" xfId="0" applyFont="1" applyFill="1" applyBorder="1" applyAlignment="1">
      <alignment horizontal="center"/>
    </xf>
    <xf numFmtId="0" fontId="1" fillId="26" borderId="1" xfId="0" applyFont="1" applyFill="1" applyBorder="1" applyAlignment="1">
      <alignment horizontal="center"/>
    </xf>
    <xf numFmtId="0" fontId="1" fillId="17" borderId="1" xfId="0" applyFont="1" applyFill="1" applyBorder="1" applyAlignment="1">
      <alignment horizontal="center"/>
    </xf>
    <xf numFmtId="0" fontId="1" fillId="18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29" borderId="1" xfId="0" applyFont="1" applyFill="1" applyBorder="1" applyAlignment="1">
      <alignment horizontal="center"/>
    </xf>
    <xf numFmtId="0" fontId="1" fillId="21" borderId="1" xfId="0" applyFont="1" applyFill="1" applyBorder="1" applyAlignment="1">
      <alignment horizontal="center"/>
    </xf>
    <xf numFmtId="0" fontId="1" fillId="32" borderId="1" xfId="0" applyFont="1" applyFill="1" applyBorder="1" applyAlignment="1">
      <alignment horizontal="center"/>
    </xf>
    <xf numFmtId="0" fontId="1" fillId="28" borderId="1" xfId="0" applyFont="1" applyFill="1" applyBorder="1" applyAlignment="1">
      <alignment horizontal="center"/>
    </xf>
    <xf numFmtId="0" fontId="1" fillId="30" borderId="1" xfId="0" applyFont="1" applyFill="1" applyBorder="1" applyAlignment="1">
      <alignment horizontal="center"/>
    </xf>
    <xf numFmtId="0" fontId="1" fillId="1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000"/>
  <sheetViews>
    <sheetView tabSelected="1" workbookViewId="0">
      <selection activeCell="D15" sqref="D15"/>
    </sheetView>
  </sheetViews>
  <sheetFormatPr defaultColWidth="12.625" defaultRowHeight="15" customHeight="1"/>
  <cols>
    <col min="1" max="1" width="19.375" customWidth="1"/>
    <col min="2" max="2" width="2.125" customWidth="1"/>
    <col min="3" max="4" width="2" customWidth="1"/>
    <col min="5" max="5" width="19.375" customWidth="1"/>
    <col min="6" max="6" width="5.75" customWidth="1"/>
    <col min="7" max="8" width="2" hidden="1" customWidth="1"/>
    <col min="9" max="9" width="9.75" customWidth="1"/>
    <col min="10" max="10" width="19.375" customWidth="1"/>
    <col min="11" max="11" width="2.375" customWidth="1"/>
    <col min="12" max="13" width="2" customWidth="1"/>
    <col min="14" max="14" width="19.375" customWidth="1"/>
    <col min="15" max="15" width="5.75" customWidth="1"/>
    <col min="16" max="17" width="2" hidden="1" customWidth="1"/>
    <col min="18" max="18" width="8.75" customWidth="1"/>
    <col min="19" max="19" width="19.375" customWidth="1"/>
    <col min="20" max="20" width="2.125" customWidth="1"/>
    <col min="21" max="22" width="2" customWidth="1"/>
    <col min="23" max="23" width="19.375" customWidth="1"/>
    <col min="24" max="24" width="5.75" customWidth="1"/>
    <col min="25" max="26" width="2" hidden="1" customWidth="1"/>
    <col min="27" max="27" width="9.125" customWidth="1"/>
    <col min="28" max="28" width="3" customWidth="1"/>
    <col min="29" max="29" width="15.375" customWidth="1"/>
    <col min="30" max="30" width="2" customWidth="1"/>
    <col min="31" max="31" width="3.625" customWidth="1"/>
    <col min="32" max="32" width="4" customWidth="1"/>
    <col min="33" max="33" width="8.25" customWidth="1"/>
    <col min="34" max="34" width="2.875" customWidth="1"/>
    <col min="35" max="35" width="15.375" customWidth="1"/>
    <col min="36" max="36" width="2" customWidth="1"/>
    <col min="37" max="37" width="3.625" customWidth="1"/>
    <col min="38" max="38" width="3.25" customWidth="1"/>
    <col min="39" max="39" width="8.125" customWidth="1"/>
    <col min="40" max="40" width="9.125" customWidth="1"/>
    <col min="41" max="41" width="13.125" customWidth="1"/>
    <col min="42" max="42" width="2" customWidth="1"/>
    <col min="43" max="43" width="3.625" customWidth="1"/>
    <col min="44" max="44" width="3.25" customWidth="1"/>
    <col min="45" max="45" width="2.125" customWidth="1"/>
    <col min="46" max="46" width="9.125" customWidth="1"/>
    <col min="47" max="47" width="14.125" customWidth="1"/>
    <col min="48" max="48" width="2" customWidth="1"/>
    <col min="49" max="49" width="3.625" customWidth="1"/>
    <col min="50" max="50" width="3.25" customWidth="1"/>
    <col min="51" max="51" width="2.125" customWidth="1"/>
    <col min="52" max="54" width="8.75" customWidth="1"/>
    <col min="55" max="55" width="19.375" customWidth="1"/>
    <col min="56" max="56" width="2" customWidth="1"/>
    <col min="57" max="57" width="3.125" customWidth="1"/>
    <col min="58" max="58" width="3.25" customWidth="1"/>
    <col min="59" max="59" width="9.125" customWidth="1"/>
    <col min="60" max="60" width="8.75" customWidth="1"/>
    <col min="61" max="61" width="13.875" customWidth="1"/>
  </cols>
  <sheetData>
    <row r="1" spans="1:61">
      <c r="A1" s="105" t="s">
        <v>0</v>
      </c>
      <c r="B1" s="106"/>
      <c r="C1" s="106"/>
      <c r="D1" s="106"/>
      <c r="E1" s="106"/>
      <c r="F1" s="72"/>
      <c r="G1" s="72"/>
      <c r="H1" s="1"/>
      <c r="I1" s="1"/>
      <c r="J1" s="105" t="s">
        <v>1</v>
      </c>
      <c r="K1" s="106"/>
      <c r="L1" s="106"/>
      <c r="M1" s="106"/>
      <c r="N1" s="106"/>
      <c r="O1" s="72"/>
      <c r="P1" s="1"/>
      <c r="Q1" s="1"/>
      <c r="R1" s="1"/>
      <c r="S1" s="105" t="s">
        <v>2</v>
      </c>
      <c r="T1" s="106"/>
      <c r="U1" s="106"/>
      <c r="V1" s="106"/>
      <c r="W1" s="106"/>
      <c r="X1" s="72"/>
      <c r="Y1" s="1"/>
      <c r="Z1" s="1"/>
      <c r="AA1" s="1"/>
      <c r="AB1" s="2"/>
      <c r="AC1" s="3" t="s">
        <v>3</v>
      </c>
      <c r="AD1" s="4" t="s">
        <v>4</v>
      </c>
      <c r="AE1" s="4" t="s">
        <v>5</v>
      </c>
      <c r="AF1" s="4" t="s">
        <v>6</v>
      </c>
      <c r="AG1" s="1"/>
      <c r="AH1" s="5"/>
      <c r="AI1" s="6" t="s">
        <v>7</v>
      </c>
      <c r="AJ1" s="7" t="s">
        <v>4</v>
      </c>
      <c r="AK1" s="7" t="s">
        <v>5</v>
      </c>
      <c r="AL1" s="7" t="s">
        <v>6</v>
      </c>
      <c r="AM1" s="92"/>
      <c r="AN1" s="71"/>
      <c r="AO1" s="1"/>
      <c r="AP1" s="92"/>
      <c r="AQ1" s="92"/>
      <c r="AR1" s="92"/>
      <c r="AS1" s="92"/>
      <c r="AT1" s="71"/>
      <c r="AU1" s="1"/>
      <c r="AV1" s="92"/>
      <c r="AW1" s="92"/>
      <c r="AX1" s="92"/>
      <c r="AY1" s="1"/>
      <c r="AZ1" s="1"/>
      <c r="BA1" s="1"/>
      <c r="BB1" s="1"/>
      <c r="BC1" s="1"/>
      <c r="BD1" s="1"/>
      <c r="BE1" s="1"/>
      <c r="BF1" s="1"/>
      <c r="BG1" s="71"/>
      <c r="BH1" s="1"/>
      <c r="BI1" s="1" t="str">
        <f>COUNTIF($AG$38:$AG$45,"A") &amp; COUNTIF($AG$38:$AG$45,"B") &amp; COUNTIF($AG$38:$AG$45,"C") &amp; COUNTIF($AG$38:$AG$45,"D") &amp; COUNTIF($AG$38:$AG$45,"E") &amp; COUNTIF($AG$38:$AG$45,"F") &amp; COUNTIF($AG$38:$AG$45,"G") &amp; COUNTIF($AG$38:$AG$45,"H") &amp; COUNTIF($AG$38:$AG$45,"I") &amp; COUNTIF($AG$38:$AG$45,"J") &amp; COUNTIF($AG$38:$AG$45,"K") &amp; COUNTIF($AG$38:$AG$45,"L")</f>
        <v>111111100010</v>
      </c>
    </row>
    <row r="2" spans="1:61">
      <c r="A2" s="110" t="s">
        <v>8</v>
      </c>
      <c r="B2" s="106"/>
      <c r="C2" s="106"/>
      <c r="D2" s="106"/>
      <c r="E2" s="106"/>
      <c r="F2" s="8">
        <v>46184</v>
      </c>
      <c r="G2" s="9"/>
      <c r="H2" s="1"/>
      <c r="I2" s="1"/>
      <c r="J2" s="110" t="s">
        <v>9</v>
      </c>
      <c r="K2" s="106"/>
      <c r="L2" s="106"/>
      <c r="M2" s="106"/>
      <c r="N2" s="106"/>
      <c r="O2" s="8">
        <v>46191</v>
      </c>
      <c r="P2" s="9"/>
      <c r="Q2" s="1"/>
      <c r="R2" s="1"/>
      <c r="S2" s="117" t="s">
        <v>10</v>
      </c>
      <c r="T2" s="106"/>
      <c r="U2" s="106"/>
      <c r="V2" s="106"/>
      <c r="W2" s="106"/>
      <c r="X2" s="8">
        <v>46197</v>
      </c>
      <c r="Y2" s="1"/>
      <c r="Z2" s="1"/>
      <c r="AA2" s="1"/>
      <c r="AB2" s="10">
        <v>1</v>
      </c>
      <c r="AC2" s="11" t="str">
        <f t="shared" ref="AC2:AC5" si="0">INDEX($AC$80:$AC$83, MATCH(LARGE($AG$80:$AG$83, AB2), $AG$80:$AG$83, 0))</f>
        <v>México</v>
      </c>
      <c r="AD2" s="101">
        <f t="shared" ref="AD2:AD5" si="1">VLOOKUP(AC2, $AC$80:$AF$83, 2, 0)</f>
        <v>7</v>
      </c>
      <c r="AE2" s="101">
        <f t="shared" ref="AE2:AE5" si="2">VLOOKUP(AC2, $AC$80:$AF$83, 3, 0)</f>
        <v>3</v>
      </c>
      <c r="AF2" s="101">
        <f t="shared" ref="AF2:AF5" si="3">VLOOKUP(AC2, $AC$80:$AF$83, 4, 0)</f>
        <v>5</v>
      </c>
      <c r="AG2" s="1"/>
      <c r="AH2" s="12">
        <v>1</v>
      </c>
      <c r="AI2" s="13" t="str">
        <f t="shared" ref="AI2:AI5" si="4">INDEX($AI$80:$AI$83, MATCH(LARGE($AM$80:$AM$83, AH2), $AM$80:$AM$83, 0))</f>
        <v>Canadá</v>
      </c>
      <c r="AJ2" s="97">
        <f t="shared" ref="AJ2:AJ5" si="5">VLOOKUP(AI2, $AI$80:$AL$83, 2, 0)</f>
        <v>7</v>
      </c>
      <c r="AK2" s="97">
        <f t="shared" ref="AK2:AK5" si="6">VLOOKUP(AI2, $AI$80:$AL$83, 3, 0)</f>
        <v>2</v>
      </c>
      <c r="AL2" s="97">
        <f t="shared" ref="AL2:AL5" si="7">VLOOKUP(AI2, $AI$80:$AL$83, 4, 0)</f>
        <v>4</v>
      </c>
      <c r="AM2" s="92"/>
      <c r="AN2" s="71"/>
      <c r="AO2" s="1"/>
      <c r="AP2" s="92"/>
      <c r="AQ2" s="92"/>
      <c r="AR2" s="92"/>
      <c r="AS2" s="92"/>
      <c r="AT2" s="71"/>
      <c r="AU2" s="1"/>
      <c r="AV2" s="92"/>
      <c r="AW2" s="92"/>
      <c r="AX2" s="92"/>
      <c r="AY2" s="1"/>
      <c r="AZ2" s="1"/>
      <c r="BA2" s="1"/>
      <c r="BB2" s="1"/>
      <c r="BC2" s="1"/>
      <c r="BD2" s="1"/>
      <c r="BE2" s="1"/>
      <c r="BF2" s="1"/>
      <c r="BG2" s="71"/>
      <c r="BH2" s="1"/>
      <c r="BI2" s="1"/>
    </row>
    <row r="3" spans="1:61">
      <c r="A3" s="10" t="s">
        <v>11</v>
      </c>
      <c r="B3" s="92">
        <v>2</v>
      </c>
      <c r="C3" s="101" t="s">
        <v>12</v>
      </c>
      <c r="D3" s="92">
        <v>1</v>
      </c>
      <c r="E3" s="14" t="s">
        <v>13</v>
      </c>
      <c r="F3" s="15" t="s">
        <v>14</v>
      </c>
      <c r="G3" s="16">
        <f>IF(B3="", 0, IF(B3&gt;D3, 3, IF(B3=D3, 1, 0)))</f>
        <v>3</v>
      </c>
      <c r="H3" s="1">
        <f>IF(D3="", 0, IF(D3&gt;B3, 3, IF(D3=B3, 1, 0)))</f>
        <v>0</v>
      </c>
      <c r="I3" s="1"/>
      <c r="J3" s="10" t="s">
        <v>15</v>
      </c>
      <c r="K3" s="92">
        <v>1</v>
      </c>
      <c r="L3" s="101" t="s">
        <v>12</v>
      </c>
      <c r="M3" s="92">
        <v>0</v>
      </c>
      <c r="N3" s="14" t="s">
        <v>13</v>
      </c>
      <c r="O3" s="17" t="s">
        <v>16</v>
      </c>
      <c r="P3" s="72">
        <f>IF(K3="", 0, IF(K3&gt;M3, 3, IF(K3=M3, 1, 0)))</f>
        <v>3</v>
      </c>
      <c r="Q3" s="1">
        <f>IF(M3="", 0, IF(M3&gt;K3, 3, IF(M3=K3, 1, 0)))</f>
        <v>0</v>
      </c>
      <c r="R3" s="1"/>
      <c r="S3" s="12" t="s">
        <v>17</v>
      </c>
      <c r="T3" s="92">
        <v>1</v>
      </c>
      <c r="U3" s="97" t="s">
        <v>12</v>
      </c>
      <c r="V3" s="92">
        <v>2</v>
      </c>
      <c r="W3" s="13" t="s">
        <v>18</v>
      </c>
      <c r="X3" s="17" t="s">
        <v>14</v>
      </c>
      <c r="Y3" s="1">
        <f>IF(T3="", 0, IF(T3&gt;V3, 3, IF(T3=V3, 1, 0)))</f>
        <v>0</v>
      </c>
      <c r="Z3" s="1">
        <f>IF(V3="", 0, IF(V3&gt;T3, 3, IF(V3=T3, 1, 0)))</f>
        <v>3</v>
      </c>
      <c r="AA3" s="1"/>
      <c r="AB3" s="10">
        <v>2</v>
      </c>
      <c r="AC3" s="11" t="str">
        <f t="shared" si="0"/>
        <v>Tchéquia</v>
      </c>
      <c r="AD3" s="101">
        <f t="shared" si="1"/>
        <v>4</v>
      </c>
      <c r="AE3" s="101">
        <f t="shared" si="2"/>
        <v>0</v>
      </c>
      <c r="AF3" s="101">
        <f t="shared" si="3"/>
        <v>1</v>
      </c>
      <c r="AG3" s="1"/>
      <c r="AH3" s="12">
        <v>2</v>
      </c>
      <c r="AI3" s="13" t="str">
        <f t="shared" si="4"/>
        <v>Bósnia e H.</v>
      </c>
      <c r="AJ3" s="97">
        <f t="shared" si="5"/>
        <v>5</v>
      </c>
      <c r="AK3" s="97">
        <f t="shared" si="6"/>
        <v>1</v>
      </c>
      <c r="AL3" s="97">
        <f t="shared" si="7"/>
        <v>3</v>
      </c>
      <c r="AM3" s="92"/>
      <c r="AN3" s="71"/>
      <c r="AO3" s="1"/>
      <c r="AP3" s="92"/>
      <c r="AQ3" s="92"/>
      <c r="AR3" s="92"/>
      <c r="AS3" s="92"/>
      <c r="AT3" s="71"/>
      <c r="AU3" s="1"/>
      <c r="AV3" s="92"/>
      <c r="AW3" s="92"/>
      <c r="AX3" s="92"/>
      <c r="AY3" s="1"/>
      <c r="AZ3" s="1"/>
      <c r="BA3" s="1"/>
      <c r="BB3" s="1"/>
      <c r="BC3" s="1"/>
      <c r="BD3" s="1"/>
      <c r="BE3" s="1"/>
      <c r="BF3" s="1"/>
      <c r="BG3" s="71"/>
      <c r="BH3" s="1"/>
      <c r="BI3" s="1"/>
    </row>
    <row r="4" spans="1:61">
      <c r="A4" s="110" t="s">
        <v>19</v>
      </c>
      <c r="B4" s="106"/>
      <c r="C4" s="106"/>
      <c r="D4" s="106"/>
      <c r="E4" s="106"/>
      <c r="F4" s="8">
        <v>46184</v>
      </c>
      <c r="G4" s="9"/>
      <c r="H4" s="1"/>
      <c r="I4" s="1"/>
      <c r="J4" s="117" t="s">
        <v>20</v>
      </c>
      <c r="K4" s="106"/>
      <c r="L4" s="106"/>
      <c r="M4" s="106"/>
      <c r="N4" s="106"/>
      <c r="O4" s="8">
        <v>46191</v>
      </c>
      <c r="P4" s="9"/>
      <c r="Q4" s="1"/>
      <c r="R4" s="1"/>
      <c r="S4" s="117" t="s">
        <v>21</v>
      </c>
      <c r="T4" s="106"/>
      <c r="U4" s="106"/>
      <c r="V4" s="106"/>
      <c r="W4" s="106"/>
      <c r="X4" s="8">
        <v>46197</v>
      </c>
      <c r="Y4" s="1"/>
      <c r="Z4" s="1"/>
      <c r="AA4" s="1"/>
      <c r="AB4" s="10">
        <v>3</v>
      </c>
      <c r="AC4" s="11" t="str">
        <f t="shared" si="0"/>
        <v>África do Sul</v>
      </c>
      <c r="AD4" s="101">
        <f t="shared" si="1"/>
        <v>3</v>
      </c>
      <c r="AE4" s="101">
        <f t="shared" si="2"/>
        <v>-1</v>
      </c>
      <c r="AF4" s="101">
        <f t="shared" si="3"/>
        <v>3</v>
      </c>
      <c r="AG4" s="1"/>
      <c r="AH4" s="12">
        <v>3</v>
      </c>
      <c r="AI4" s="13" t="str">
        <f t="shared" si="4"/>
        <v>Suíça</v>
      </c>
      <c r="AJ4" s="97">
        <f t="shared" si="5"/>
        <v>4</v>
      </c>
      <c r="AK4" s="97">
        <f t="shared" si="6"/>
        <v>1</v>
      </c>
      <c r="AL4" s="97">
        <f t="shared" si="7"/>
        <v>4</v>
      </c>
      <c r="AM4" s="92"/>
      <c r="AN4" s="71"/>
      <c r="AO4" s="1"/>
      <c r="AP4" s="92"/>
      <c r="AQ4" s="92"/>
      <c r="AR4" s="92"/>
      <c r="AS4" s="92"/>
      <c r="AT4" s="71"/>
      <c r="AU4" s="1"/>
      <c r="AV4" s="92"/>
      <c r="AW4" s="92"/>
      <c r="AX4" s="92"/>
      <c r="AY4" s="1"/>
      <c r="AZ4" s="1"/>
      <c r="BA4" s="1"/>
      <c r="BB4" s="1"/>
      <c r="BC4" s="1"/>
      <c r="BD4" s="1"/>
      <c r="BE4" s="1"/>
      <c r="BF4" s="1"/>
      <c r="BG4" s="71"/>
      <c r="BH4" s="1"/>
      <c r="BI4" s="1"/>
    </row>
    <row r="5" spans="1:61">
      <c r="A5" s="10" t="s">
        <v>22</v>
      </c>
      <c r="B5" s="92">
        <v>1</v>
      </c>
      <c r="C5" s="101" t="s">
        <v>12</v>
      </c>
      <c r="D5" s="92">
        <v>0</v>
      </c>
      <c r="E5" s="14" t="s">
        <v>15</v>
      </c>
      <c r="F5" s="17" t="s">
        <v>23</v>
      </c>
      <c r="G5" s="16">
        <f>IF(B5="", 0, IF(B5&gt;D5, 3, IF(B5=D5, 1, 0)))</f>
        <v>3</v>
      </c>
      <c r="H5" s="1">
        <f>IF(D5="", 0, IF(D5&gt;B5, 3, IF(D5=B5, 1, 0)))</f>
        <v>0</v>
      </c>
      <c r="I5" s="1"/>
      <c r="J5" s="12" t="s">
        <v>17</v>
      </c>
      <c r="K5" s="92">
        <v>1</v>
      </c>
      <c r="L5" s="97" t="s">
        <v>12</v>
      </c>
      <c r="M5" s="92">
        <v>1</v>
      </c>
      <c r="N5" s="13" t="s">
        <v>24</v>
      </c>
      <c r="O5" s="17" t="s">
        <v>14</v>
      </c>
      <c r="P5" s="72">
        <f>IF(K5="", 0, IF(K5&gt;M5, 3, IF(K5=M5, 1, 0)))</f>
        <v>1</v>
      </c>
      <c r="Q5" s="1">
        <f>IF(M5="", 0, IF(M5&gt;K5, 3, IF(M5=K5, 1, 0)))</f>
        <v>1</v>
      </c>
      <c r="R5" s="1"/>
      <c r="S5" s="12" t="s">
        <v>24</v>
      </c>
      <c r="T5" s="92">
        <v>2</v>
      </c>
      <c r="U5" s="97" t="s">
        <v>12</v>
      </c>
      <c r="V5" s="92">
        <v>1</v>
      </c>
      <c r="W5" s="13" t="s">
        <v>25</v>
      </c>
      <c r="X5" s="17" t="s">
        <v>14</v>
      </c>
      <c r="Y5" s="1">
        <f>IF(T5="", 0, IF(T5&gt;V5, 3, IF(T5=V5, 1, 0)))</f>
        <v>3</v>
      </c>
      <c r="Z5" s="1">
        <f>IF(V5="", 0, IF(V5&gt;T5, 3, IF(V5=T5, 1, 0)))</f>
        <v>0</v>
      </c>
      <c r="AA5" s="1"/>
      <c r="AB5" s="10">
        <v>4</v>
      </c>
      <c r="AC5" s="11" t="str">
        <f t="shared" si="0"/>
        <v>Coreia do Sul</v>
      </c>
      <c r="AD5" s="101">
        <f t="shared" si="1"/>
        <v>3</v>
      </c>
      <c r="AE5" s="101">
        <f t="shared" si="2"/>
        <v>-2</v>
      </c>
      <c r="AF5" s="101">
        <f t="shared" si="3"/>
        <v>3</v>
      </c>
      <c r="AG5" s="1"/>
      <c r="AH5" s="12">
        <v>4</v>
      </c>
      <c r="AI5" s="13" t="str">
        <f t="shared" si="4"/>
        <v>Catar</v>
      </c>
      <c r="AJ5" s="97">
        <f t="shared" si="5"/>
        <v>0</v>
      </c>
      <c r="AK5" s="97">
        <f t="shared" si="6"/>
        <v>-4</v>
      </c>
      <c r="AL5" s="97">
        <f t="shared" si="7"/>
        <v>2</v>
      </c>
      <c r="AM5" s="92"/>
      <c r="AN5" s="71"/>
      <c r="AO5" s="1"/>
      <c r="AP5" s="92"/>
      <c r="AQ5" s="92"/>
      <c r="AR5" s="92"/>
      <c r="AS5" s="92"/>
      <c r="AT5" s="71"/>
      <c r="AU5" s="1"/>
      <c r="AV5" s="92"/>
      <c r="AW5" s="92"/>
      <c r="AX5" s="92"/>
      <c r="AY5" s="1"/>
      <c r="AZ5" s="1"/>
      <c r="BA5" s="1"/>
      <c r="BB5" s="1"/>
      <c r="BC5" s="1"/>
      <c r="BD5" s="1"/>
      <c r="BE5" s="1"/>
      <c r="BF5" s="1"/>
      <c r="BG5" s="71"/>
      <c r="BH5" s="1"/>
      <c r="BI5" s="1"/>
    </row>
    <row r="6" spans="1:61">
      <c r="A6" s="117" t="s">
        <v>26</v>
      </c>
      <c r="B6" s="106"/>
      <c r="C6" s="106"/>
      <c r="D6" s="106"/>
      <c r="E6" s="106"/>
      <c r="F6" s="8">
        <v>46185</v>
      </c>
      <c r="G6" s="9"/>
      <c r="H6" s="1"/>
      <c r="I6" s="1"/>
      <c r="J6" s="117" t="s">
        <v>27</v>
      </c>
      <c r="K6" s="106"/>
      <c r="L6" s="106"/>
      <c r="M6" s="106"/>
      <c r="N6" s="106"/>
      <c r="O6" s="8">
        <v>46191</v>
      </c>
      <c r="P6" s="9"/>
      <c r="Q6" s="1"/>
      <c r="R6" s="1"/>
      <c r="S6" s="109" t="s">
        <v>28</v>
      </c>
      <c r="T6" s="106"/>
      <c r="U6" s="106"/>
      <c r="V6" s="106"/>
      <c r="W6" s="106"/>
      <c r="X6" s="8">
        <v>46197</v>
      </c>
      <c r="Y6" s="1"/>
      <c r="Z6" s="1"/>
      <c r="AA6" s="1"/>
      <c r="AB6" s="71"/>
      <c r="AC6" s="1"/>
      <c r="AD6" s="92"/>
      <c r="AE6" s="92"/>
      <c r="AF6" s="92"/>
      <c r="AG6" s="1"/>
      <c r="AH6" s="71"/>
      <c r="AI6" s="1"/>
      <c r="AJ6" s="92"/>
      <c r="AK6" s="92"/>
      <c r="AL6" s="92"/>
      <c r="AM6" s="92"/>
      <c r="AN6" s="71"/>
      <c r="AO6" s="1"/>
      <c r="AP6" s="92"/>
      <c r="AQ6" s="92"/>
      <c r="AR6" s="92"/>
      <c r="AS6" s="92"/>
      <c r="AT6" s="71"/>
      <c r="AU6" s="1"/>
      <c r="AV6" s="92"/>
      <c r="AW6" s="92"/>
      <c r="AX6" s="92"/>
      <c r="AY6" s="1"/>
      <c r="AZ6" s="1"/>
      <c r="BA6" s="1"/>
      <c r="BB6" s="1"/>
      <c r="BC6" s="1"/>
      <c r="BD6" s="1"/>
      <c r="BE6" s="1"/>
      <c r="BF6" s="1"/>
      <c r="BG6" s="71"/>
      <c r="BH6" s="1"/>
      <c r="BI6" s="1"/>
    </row>
    <row r="7" spans="1:61">
      <c r="A7" s="12" t="s">
        <v>18</v>
      </c>
      <c r="B7" s="92">
        <v>0</v>
      </c>
      <c r="C7" s="97" t="s">
        <v>12</v>
      </c>
      <c r="D7" s="92">
        <v>0</v>
      </c>
      <c r="E7" s="13" t="s">
        <v>24</v>
      </c>
      <c r="F7" s="17" t="s">
        <v>14</v>
      </c>
      <c r="G7" s="16">
        <f>IF(B7="", 0, IF(B7&gt;D7, 3, IF(B7=D7, 1, 0)))</f>
        <v>1</v>
      </c>
      <c r="H7" s="1">
        <f>IF(D7="", 0, IF(D7&gt;B7, 3, IF(D7=B7, 1, 0)))</f>
        <v>1</v>
      </c>
      <c r="I7" s="1"/>
      <c r="J7" s="12" t="s">
        <v>18</v>
      </c>
      <c r="K7" s="92">
        <v>2</v>
      </c>
      <c r="L7" s="97" t="s">
        <v>12</v>
      </c>
      <c r="M7" s="92">
        <v>1</v>
      </c>
      <c r="N7" s="13" t="s">
        <v>25</v>
      </c>
      <c r="O7" s="17" t="s">
        <v>29</v>
      </c>
      <c r="P7" s="72">
        <f>IF(K7="", 0, IF(K7&gt;M7, 3, IF(K7=M7, 1, 0)))</f>
        <v>3</v>
      </c>
      <c r="Q7" s="1">
        <f>IF(M7="", 0, IF(M7&gt;K7, 3, IF(M7=K7, 1, 0)))</f>
        <v>0</v>
      </c>
      <c r="R7" s="1"/>
      <c r="S7" s="18" t="s">
        <v>30</v>
      </c>
      <c r="T7" s="92">
        <v>2</v>
      </c>
      <c r="U7" s="102" t="s">
        <v>12</v>
      </c>
      <c r="V7" s="92">
        <v>1</v>
      </c>
      <c r="W7" s="19" t="s">
        <v>31</v>
      </c>
      <c r="X7" s="17" t="s">
        <v>29</v>
      </c>
      <c r="Y7" s="1">
        <f>IF(T7="", 0, IF(T7&gt;V7, 3, IF(T7=V7, 1, 0)))</f>
        <v>3</v>
      </c>
      <c r="Z7" s="1">
        <f>IF(V7="", 0, IF(V7&gt;T7, 3, IF(V7=T7, 1, 0)))</f>
        <v>0</v>
      </c>
      <c r="AA7" s="1"/>
      <c r="AB7" s="20"/>
      <c r="AC7" s="21" t="s">
        <v>32</v>
      </c>
      <c r="AD7" s="22" t="s">
        <v>4</v>
      </c>
      <c r="AE7" s="22" t="s">
        <v>5</v>
      </c>
      <c r="AF7" s="22" t="s">
        <v>6</v>
      </c>
      <c r="AG7" s="92"/>
      <c r="AH7" s="23"/>
      <c r="AI7" s="24" t="s">
        <v>33</v>
      </c>
      <c r="AJ7" s="25" t="s">
        <v>4</v>
      </c>
      <c r="AK7" s="25" t="s">
        <v>5</v>
      </c>
      <c r="AL7" s="25" t="s">
        <v>6</v>
      </c>
      <c r="AM7" s="92"/>
      <c r="AN7" s="71"/>
      <c r="AO7" s="1"/>
      <c r="AP7" s="92"/>
      <c r="AQ7" s="92"/>
      <c r="AR7" s="92"/>
      <c r="AS7" s="92"/>
      <c r="AT7" s="71"/>
      <c r="AU7" s="1"/>
      <c r="AV7" s="92"/>
      <c r="AW7" s="92"/>
      <c r="AX7" s="92"/>
      <c r="AY7" s="1"/>
      <c r="AZ7" s="1"/>
      <c r="BA7" s="1"/>
      <c r="BB7" s="1"/>
      <c r="BC7" s="1"/>
      <c r="BD7" s="1"/>
      <c r="BE7" s="1"/>
      <c r="BF7" s="1"/>
      <c r="BG7" s="71"/>
      <c r="BH7" s="1"/>
      <c r="BI7" s="1"/>
    </row>
    <row r="8" spans="1:61">
      <c r="A8" s="111" t="s">
        <v>34</v>
      </c>
      <c r="B8" s="106"/>
      <c r="C8" s="106"/>
      <c r="D8" s="106"/>
      <c r="E8" s="106"/>
      <c r="F8" s="8">
        <v>46185</v>
      </c>
      <c r="G8" s="9"/>
      <c r="H8" s="1"/>
      <c r="I8" s="1"/>
      <c r="J8" s="110" t="s">
        <v>35</v>
      </c>
      <c r="K8" s="106"/>
      <c r="L8" s="106"/>
      <c r="M8" s="106"/>
      <c r="N8" s="106"/>
      <c r="O8" s="8">
        <v>46191</v>
      </c>
      <c r="P8" s="9"/>
      <c r="Q8" s="1"/>
      <c r="R8" s="1"/>
      <c r="S8" s="109" t="s">
        <v>36</v>
      </c>
      <c r="T8" s="106"/>
      <c r="U8" s="106"/>
      <c r="V8" s="106"/>
      <c r="W8" s="106"/>
      <c r="X8" s="8">
        <v>46197</v>
      </c>
      <c r="Y8" s="1"/>
      <c r="Z8" s="1"/>
      <c r="AA8" s="1"/>
      <c r="AB8" s="18">
        <v>1</v>
      </c>
      <c r="AC8" s="19" t="str">
        <f t="shared" ref="AC8:AC11" si="8">INDEX($AO$80:$AO$83, MATCH(LARGE($AS$80:$AS$83, AB8), $AS$80:$AS$83, 0))</f>
        <v>Brasil</v>
      </c>
      <c r="AD8" s="102">
        <f t="shared" ref="AD8:AD11" si="9">VLOOKUP(AC8, $AO$80:$AR$83, 2, 0)</f>
        <v>6</v>
      </c>
      <c r="AE8" s="102">
        <f t="shared" ref="AE8:AE11" si="10">VLOOKUP(AC8, $AO$80:$AR$83, 3, 0)</f>
        <v>2</v>
      </c>
      <c r="AF8" s="102">
        <f t="shared" ref="AF8:AF11" si="11">VLOOKUP(AC8, $AO$80:$AR$83, 4, 0)</f>
        <v>4</v>
      </c>
      <c r="AG8" s="92"/>
      <c r="AH8" s="26">
        <v>1</v>
      </c>
      <c r="AI8" s="27" t="str">
        <f t="shared" ref="AI8:AI11" si="12">INDEX($AU$80:$AU$83, MATCH(LARGE($AY$80:$AY$83, AH8), $AY$80:$AY$83, 0))</f>
        <v>Turquia</v>
      </c>
      <c r="AJ8" s="87">
        <f t="shared" ref="AJ8:AJ11" si="13">VLOOKUP(AI8, $AU$80:$AX$83, 2, 0)</f>
        <v>6</v>
      </c>
      <c r="AK8" s="87">
        <f t="shared" ref="AK8:AK11" si="14">VLOOKUP(AI8, $AU$80:$AX$83, 3, 0)</f>
        <v>1</v>
      </c>
      <c r="AL8" s="87">
        <f t="shared" ref="AL8:AL11" si="15">VLOOKUP(AI8, $AU$80:$AX$83, 4, 0)</f>
        <v>3</v>
      </c>
      <c r="AM8" s="92"/>
      <c r="AN8" s="71"/>
      <c r="AO8" s="1"/>
      <c r="AP8" s="92"/>
      <c r="AQ8" s="92"/>
      <c r="AR8" s="92"/>
      <c r="AS8" s="92"/>
      <c r="AT8" s="71"/>
      <c r="AU8" s="1"/>
      <c r="AV8" s="92"/>
      <c r="AW8" s="92"/>
      <c r="AX8" s="92"/>
      <c r="AY8" s="1"/>
      <c r="AZ8" s="1"/>
      <c r="BA8" s="1"/>
      <c r="BB8" s="1"/>
      <c r="BC8" s="1"/>
      <c r="BD8" s="1"/>
      <c r="BE8" s="1"/>
      <c r="BF8" s="1"/>
      <c r="BG8" s="71"/>
      <c r="BH8" s="1"/>
      <c r="BI8" s="1"/>
    </row>
    <row r="9" spans="1:61">
      <c r="A9" s="26" t="s">
        <v>37</v>
      </c>
      <c r="B9" s="92">
        <v>2</v>
      </c>
      <c r="C9" s="87" t="s">
        <v>12</v>
      </c>
      <c r="D9" s="92">
        <v>2</v>
      </c>
      <c r="E9" s="27" t="s">
        <v>38</v>
      </c>
      <c r="F9" s="17" t="s">
        <v>39</v>
      </c>
      <c r="G9" s="16">
        <f>IF(B9="", 0, IF(B9&gt;D9, 3, IF(B9=D9, 1, 0)))</f>
        <v>1</v>
      </c>
      <c r="H9" s="1">
        <f>IF(D9="", 0, IF(D9&gt;B9, 3, IF(D9=B9, 1, 0)))</f>
        <v>1</v>
      </c>
      <c r="I9" s="1"/>
      <c r="J9" s="10" t="s">
        <v>11</v>
      </c>
      <c r="K9" s="92">
        <v>3</v>
      </c>
      <c r="L9" s="101" t="s">
        <v>12</v>
      </c>
      <c r="M9" s="92">
        <v>1</v>
      </c>
      <c r="N9" s="14" t="s">
        <v>22</v>
      </c>
      <c r="O9" s="17" t="s">
        <v>39</v>
      </c>
      <c r="P9" s="72">
        <f>IF(K9="", 0, IF(K9&gt;M9, 3, IF(K9=M9, 1, 0)))</f>
        <v>3</v>
      </c>
      <c r="Q9" s="1">
        <f>IF(M9="", 0, IF(M9&gt;K9, 3, IF(M9=K9, 1, 0)))</f>
        <v>0</v>
      </c>
      <c r="R9" s="1"/>
      <c r="S9" s="18" t="s">
        <v>40</v>
      </c>
      <c r="T9" s="92">
        <v>1</v>
      </c>
      <c r="U9" s="102" t="s">
        <v>12</v>
      </c>
      <c r="V9" s="92">
        <v>0</v>
      </c>
      <c r="W9" s="19" t="s">
        <v>41</v>
      </c>
      <c r="X9" s="17" t="s">
        <v>29</v>
      </c>
      <c r="Y9" s="1">
        <f>IF(T9="", 0, IF(T9&gt;V9, 3, IF(T9=V9, 1, 0)))</f>
        <v>3</v>
      </c>
      <c r="Z9" s="1">
        <f>IF(V9="", 0, IF(V9&gt;T9, 3, IF(V9=T9, 1, 0)))</f>
        <v>0</v>
      </c>
      <c r="AA9" s="1"/>
      <c r="AB9" s="18">
        <v>2</v>
      </c>
      <c r="AC9" s="19" t="str">
        <f t="shared" si="8"/>
        <v>Marrocos</v>
      </c>
      <c r="AD9" s="102">
        <f t="shared" si="9"/>
        <v>4</v>
      </c>
      <c r="AE9" s="102">
        <f t="shared" si="10"/>
        <v>0</v>
      </c>
      <c r="AF9" s="102">
        <f t="shared" si="11"/>
        <v>5</v>
      </c>
      <c r="AG9" s="92"/>
      <c r="AH9" s="26">
        <v>2</v>
      </c>
      <c r="AI9" s="27" t="str">
        <f t="shared" si="12"/>
        <v>Estados Unidos</v>
      </c>
      <c r="AJ9" s="87">
        <f t="shared" si="13"/>
        <v>4</v>
      </c>
      <c r="AK9" s="87">
        <f t="shared" si="14"/>
        <v>1</v>
      </c>
      <c r="AL9" s="87">
        <f t="shared" si="15"/>
        <v>4</v>
      </c>
      <c r="AM9" s="92"/>
      <c r="AN9" s="71"/>
      <c r="AO9" s="1"/>
      <c r="AP9" s="92"/>
      <c r="AQ9" s="92"/>
      <c r="AR9" s="92"/>
      <c r="AS9" s="92"/>
      <c r="AT9" s="71"/>
      <c r="AU9" s="1"/>
      <c r="AV9" s="92"/>
      <c r="AW9" s="92"/>
      <c r="AX9" s="92"/>
      <c r="AY9" s="1"/>
      <c r="AZ9" s="1"/>
      <c r="BA9" s="1"/>
      <c r="BB9" s="1"/>
      <c r="BC9" s="1"/>
      <c r="BD9" s="1"/>
      <c r="BE9" s="1"/>
      <c r="BF9" s="1"/>
      <c r="BG9" s="71"/>
      <c r="BH9" s="1"/>
      <c r="BI9" s="1"/>
    </row>
    <row r="10" spans="1:61">
      <c r="A10" s="117" t="s">
        <v>42</v>
      </c>
      <c r="B10" s="106"/>
      <c r="C10" s="106"/>
      <c r="D10" s="106"/>
      <c r="E10" s="106"/>
      <c r="F10" s="8">
        <v>46186</v>
      </c>
      <c r="G10" s="9"/>
      <c r="H10" s="1"/>
      <c r="I10" s="1"/>
      <c r="J10" s="111" t="s">
        <v>43</v>
      </c>
      <c r="K10" s="106"/>
      <c r="L10" s="106"/>
      <c r="M10" s="106"/>
      <c r="N10" s="106"/>
      <c r="O10" s="8">
        <v>46192</v>
      </c>
      <c r="P10" s="9"/>
      <c r="Q10" s="1"/>
      <c r="R10" s="1"/>
      <c r="S10" s="110" t="s">
        <v>44</v>
      </c>
      <c r="T10" s="106"/>
      <c r="U10" s="106"/>
      <c r="V10" s="106"/>
      <c r="W10" s="106"/>
      <c r="X10" s="8">
        <v>46197</v>
      </c>
      <c r="Y10" s="1"/>
      <c r="Z10" s="1"/>
      <c r="AA10" s="1"/>
      <c r="AB10" s="18">
        <v>3</v>
      </c>
      <c r="AC10" s="19" t="str">
        <f t="shared" si="8"/>
        <v>Escócia</v>
      </c>
      <c r="AD10" s="102">
        <f t="shared" si="9"/>
        <v>4</v>
      </c>
      <c r="AE10" s="102">
        <f t="shared" si="10"/>
        <v>0</v>
      </c>
      <c r="AF10" s="102">
        <f t="shared" si="11"/>
        <v>4</v>
      </c>
      <c r="AG10" s="92"/>
      <c r="AH10" s="26">
        <v>3</v>
      </c>
      <c r="AI10" s="27" t="str">
        <f t="shared" si="12"/>
        <v>Austrália</v>
      </c>
      <c r="AJ10" s="87">
        <f t="shared" si="13"/>
        <v>4</v>
      </c>
      <c r="AK10" s="87">
        <f t="shared" si="14"/>
        <v>0</v>
      </c>
      <c r="AL10" s="87">
        <f t="shared" si="15"/>
        <v>1</v>
      </c>
      <c r="AM10" s="92"/>
      <c r="AN10" s="71"/>
      <c r="AO10" s="1"/>
      <c r="AP10" s="92"/>
      <c r="AQ10" s="92"/>
      <c r="AR10" s="92"/>
      <c r="AS10" s="92"/>
      <c r="AT10" s="71"/>
      <c r="AU10" s="1"/>
      <c r="AV10" s="92"/>
      <c r="AW10" s="92"/>
      <c r="AX10" s="92"/>
      <c r="AY10" s="1"/>
      <c r="AZ10" s="1"/>
      <c r="BA10" s="1"/>
      <c r="BB10" s="1"/>
      <c r="BC10" s="1"/>
      <c r="BD10" s="1"/>
      <c r="BE10" s="1"/>
      <c r="BF10" s="1"/>
      <c r="BG10" s="71"/>
      <c r="BH10" s="1"/>
      <c r="BI10" s="1"/>
    </row>
    <row r="11" spans="1:61">
      <c r="A11" s="12" t="s">
        <v>25</v>
      </c>
      <c r="B11" s="92">
        <v>0</v>
      </c>
      <c r="C11" s="97" t="s">
        <v>12</v>
      </c>
      <c r="D11" s="92">
        <v>2</v>
      </c>
      <c r="E11" s="13" t="s">
        <v>17</v>
      </c>
      <c r="F11" s="17" t="s">
        <v>14</v>
      </c>
      <c r="G11" s="16">
        <f>IF(B11="", 0, IF(B11&gt;D11, 3, IF(B11=D11, 1, 0)))</f>
        <v>0</v>
      </c>
      <c r="H11" s="1">
        <f>IF(D11="", 0, IF(D11&gt;B11, 3, IF(D11=B11, 1, 0)))</f>
        <v>3</v>
      </c>
      <c r="I11" s="1"/>
      <c r="J11" s="26" t="s">
        <v>37</v>
      </c>
      <c r="K11" s="92">
        <v>0</v>
      </c>
      <c r="L11" s="87" t="s">
        <v>12</v>
      </c>
      <c r="M11" s="92">
        <v>1</v>
      </c>
      <c r="N11" s="27" t="s">
        <v>45</v>
      </c>
      <c r="O11" s="17" t="s">
        <v>14</v>
      </c>
      <c r="P11" s="72">
        <f>IF(K11="", 0, IF(K11&gt;M11, 3, IF(K11=M11, 1, 0)))</f>
        <v>0</v>
      </c>
      <c r="Q11" s="1">
        <f>IF(M11="", 0, IF(M11&gt;K11, 3, IF(M11=K11, 1, 0)))</f>
        <v>3</v>
      </c>
      <c r="R11" s="1"/>
      <c r="S11" s="10" t="s">
        <v>13</v>
      </c>
      <c r="T11" s="92">
        <v>2</v>
      </c>
      <c r="U11" s="101" t="s">
        <v>12</v>
      </c>
      <c r="V11" s="92">
        <v>1</v>
      </c>
      <c r="W11" s="14" t="s">
        <v>22</v>
      </c>
      <c r="X11" s="17" t="s">
        <v>39</v>
      </c>
      <c r="Y11" s="1">
        <f>IF(T11="", 0, IF(T11&gt;V11, 3, IF(T11=V11, 1, 0)))</f>
        <v>3</v>
      </c>
      <c r="Z11" s="1">
        <f>IF(V11="", 0, IF(V11&gt;T11, 3, IF(V11=T11, 1, 0)))</f>
        <v>0</v>
      </c>
      <c r="AA11" s="1"/>
      <c r="AB11" s="18">
        <v>4</v>
      </c>
      <c r="AC11" s="19" t="str">
        <f t="shared" si="8"/>
        <v>Haiti</v>
      </c>
      <c r="AD11" s="102">
        <f t="shared" si="9"/>
        <v>3</v>
      </c>
      <c r="AE11" s="102">
        <f t="shared" si="10"/>
        <v>-2</v>
      </c>
      <c r="AF11" s="102">
        <f t="shared" si="11"/>
        <v>3</v>
      </c>
      <c r="AG11" s="92"/>
      <c r="AH11" s="26">
        <v>4</v>
      </c>
      <c r="AI11" s="27" t="str">
        <f t="shared" si="12"/>
        <v>Paraguai</v>
      </c>
      <c r="AJ11" s="87">
        <f t="shared" si="13"/>
        <v>2</v>
      </c>
      <c r="AK11" s="87">
        <f t="shared" si="14"/>
        <v>-2</v>
      </c>
      <c r="AL11" s="87">
        <f t="shared" si="15"/>
        <v>2</v>
      </c>
      <c r="AM11" s="92"/>
      <c r="AN11" s="71"/>
      <c r="AO11" s="1"/>
      <c r="AP11" s="92"/>
      <c r="AQ11" s="92"/>
      <c r="AR11" s="92"/>
      <c r="AS11" s="92"/>
      <c r="AT11" s="71"/>
      <c r="AU11" s="1"/>
      <c r="AV11" s="92"/>
      <c r="AW11" s="92"/>
      <c r="AX11" s="92"/>
      <c r="AY11" s="1"/>
      <c r="AZ11" s="1"/>
      <c r="BA11" s="1"/>
      <c r="BB11" s="1"/>
      <c r="BC11" s="1"/>
      <c r="BD11" s="1"/>
      <c r="BE11" s="1"/>
      <c r="BF11" s="1"/>
      <c r="BG11" s="71"/>
      <c r="BH11" s="1"/>
      <c r="BI11" s="1"/>
    </row>
    <row r="12" spans="1:61">
      <c r="A12" s="109" t="s">
        <v>46</v>
      </c>
      <c r="B12" s="106"/>
      <c r="C12" s="106"/>
      <c r="D12" s="106"/>
      <c r="E12" s="106"/>
      <c r="F12" s="8">
        <v>46186</v>
      </c>
      <c r="G12" s="9"/>
      <c r="H12" s="1"/>
      <c r="I12" s="1"/>
      <c r="J12" s="109" t="s">
        <v>47</v>
      </c>
      <c r="K12" s="106"/>
      <c r="L12" s="106"/>
      <c r="M12" s="106"/>
      <c r="N12" s="106"/>
      <c r="O12" s="8">
        <v>46192</v>
      </c>
      <c r="P12" s="9"/>
      <c r="Q12" s="1"/>
      <c r="R12" s="1"/>
      <c r="S12" s="110" t="s">
        <v>48</v>
      </c>
      <c r="T12" s="106"/>
      <c r="U12" s="106"/>
      <c r="V12" s="106"/>
      <c r="W12" s="106"/>
      <c r="X12" s="8">
        <v>46197</v>
      </c>
      <c r="Y12" s="1"/>
      <c r="Z12" s="1"/>
      <c r="AA12" s="1"/>
      <c r="AB12" s="71"/>
      <c r="AC12" s="1"/>
      <c r="AD12" s="92"/>
      <c r="AE12" s="92"/>
      <c r="AF12" s="92"/>
      <c r="AG12" s="1"/>
      <c r="AH12" s="71"/>
      <c r="AI12" s="1"/>
      <c r="AJ12" s="92"/>
      <c r="AK12" s="92"/>
      <c r="AL12" s="92"/>
      <c r="AM12" s="92"/>
      <c r="AN12" s="71"/>
      <c r="AO12" s="1"/>
      <c r="AP12" s="92"/>
      <c r="AQ12" s="92"/>
      <c r="AR12" s="92"/>
      <c r="AS12" s="92"/>
      <c r="AT12" s="71"/>
      <c r="AU12" s="1"/>
      <c r="AV12" s="92"/>
      <c r="AW12" s="92"/>
      <c r="AX12" s="92"/>
      <c r="AY12" s="1"/>
      <c r="AZ12" s="1"/>
      <c r="BA12" s="1"/>
      <c r="BB12" s="1"/>
      <c r="BC12" s="1"/>
      <c r="BD12" s="1"/>
      <c r="BE12" s="1"/>
      <c r="BF12" s="1"/>
      <c r="BG12" s="71"/>
      <c r="BH12" s="1"/>
      <c r="BI12" s="1"/>
    </row>
    <row r="13" spans="1:61">
      <c r="A13" s="18" t="s">
        <v>41</v>
      </c>
      <c r="B13" s="92">
        <v>2</v>
      </c>
      <c r="C13" s="102" t="s">
        <v>12</v>
      </c>
      <c r="D13" s="92">
        <v>1</v>
      </c>
      <c r="E13" s="19" t="s">
        <v>30</v>
      </c>
      <c r="F13" s="17" t="s">
        <v>29</v>
      </c>
      <c r="G13" s="16">
        <f>IF(B13="", 0, IF(B13&gt;D13, 3, IF(B13=D13, 1, 0)))</f>
        <v>3</v>
      </c>
      <c r="H13" s="1">
        <f>IF(D13="", 0, IF(D13&gt;B13, 3, IF(D13=B13, 1, 0)))</f>
        <v>0</v>
      </c>
      <c r="I13" s="1"/>
      <c r="J13" s="18" t="s">
        <v>40</v>
      </c>
      <c r="K13" s="92">
        <v>2</v>
      </c>
      <c r="L13" s="102" t="s">
        <v>12</v>
      </c>
      <c r="M13" s="92">
        <v>2</v>
      </c>
      <c r="N13" s="19" t="s">
        <v>30</v>
      </c>
      <c r="O13" s="17" t="s">
        <v>29</v>
      </c>
      <c r="P13" s="72">
        <f>IF(K13="", 0, IF(K13&gt;M13, 3, IF(K13=M13, 1, 0)))</f>
        <v>1</v>
      </c>
      <c r="Q13" s="1">
        <f>IF(M13="", 0, IF(M13&gt;K13, 3, IF(M13=K13, 1, 0)))</f>
        <v>1</v>
      </c>
      <c r="R13" s="1"/>
      <c r="S13" s="10" t="s">
        <v>15</v>
      </c>
      <c r="T13" s="92">
        <v>0</v>
      </c>
      <c r="U13" s="101" t="s">
        <v>12</v>
      </c>
      <c r="V13" s="92">
        <v>0</v>
      </c>
      <c r="W13" s="14" t="s">
        <v>11</v>
      </c>
      <c r="X13" s="17" t="s">
        <v>39</v>
      </c>
      <c r="Y13" s="1">
        <f>IF(T13="", 0, IF(T13&gt;V13, 3, IF(T13=V13, 1, 0)))</f>
        <v>1</v>
      </c>
      <c r="Z13" s="1">
        <f>IF(V13="", 0, IF(V13&gt;T13, 3, IF(V13=T13, 1, 0)))</f>
        <v>1</v>
      </c>
      <c r="AA13" s="1"/>
      <c r="AB13" s="28"/>
      <c r="AC13" s="29" t="s">
        <v>49</v>
      </c>
      <c r="AD13" s="30" t="s">
        <v>4</v>
      </c>
      <c r="AE13" s="30" t="s">
        <v>5</v>
      </c>
      <c r="AF13" s="30" t="s">
        <v>6</v>
      </c>
      <c r="AG13" s="1"/>
      <c r="AH13" s="31"/>
      <c r="AI13" s="32" t="s">
        <v>50</v>
      </c>
      <c r="AJ13" s="33" t="s">
        <v>4</v>
      </c>
      <c r="AK13" s="33" t="s">
        <v>5</v>
      </c>
      <c r="AL13" s="33" t="s">
        <v>6</v>
      </c>
      <c r="AM13" s="92"/>
      <c r="AN13" s="71"/>
      <c r="AO13" s="1"/>
      <c r="AP13" s="92"/>
      <c r="AQ13" s="92"/>
      <c r="AR13" s="92"/>
      <c r="AS13" s="92"/>
      <c r="AT13" s="71"/>
      <c r="AU13" s="1"/>
      <c r="AV13" s="92"/>
      <c r="AW13" s="92"/>
      <c r="AX13" s="92"/>
      <c r="AY13" s="1"/>
      <c r="AZ13" s="1"/>
      <c r="BA13" s="1"/>
      <c r="BB13" s="1"/>
      <c r="BC13" s="1"/>
      <c r="BD13" s="1"/>
      <c r="BE13" s="1"/>
      <c r="BF13" s="1"/>
      <c r="BG13" s="71"/>
      <c r="BH13" s="1"/>
      <c r="BI13" s="1"/>
    </row>
    <row r="14" spans="1:61">
      <c r="A14" s="109" t="s">
        <v>51</v>
      </c>
      <c r="B14" s="106"/>
      <c r="C14" s="106"/>
      <c r="D14" s="106"/>
      <c r="E14" s="106"/>
      <c r="F14" s="8">
        <v>46186</v>
      </c>
      <c r="G14" s="9"/>
      <c r="H14" s="1"/>
      <c r="I14" s="1"/>
      <c r="J14" s="109" t="s">
        <v>52</v>
      </c>
      <c r="K14" s="106"/>
      <c r="L14" s="106"/>
      <c r="M14" s="106"/>
      <c r="N14" s="106"/>
      <c r="O14" s="8">
        <v>46192</v>
      </c>
      <c r="P14" s="9"/>
      <c r="Q14" s="1"/>
      <c r="R14" s="1"/>
      <c r="S14" s="108" t="s">
        <v>53</v>
      </c>
      <c r="T14" s="106"/>
      <c r="U14" s="106"/>
      <c r="V14" s="106"/>
      <c r="W14" s="106"/>
      <c r="X14" s="8">
        <v>46198</v>
      </c>
      <c r="Y14" s="1"/>
      <c r="Z14" s="1"/>
      <c r="AA14" s="1"/>
      <c r="AB14" s="34">
        <v>1</v>
      </c>
      <c r="AC14" s="35" t="str">
        <f t="shared" ref="AC14:AC17" si="16">INDEX($AC$86:$AC$89, MATCH(LARGE($AG$86:$AG$89, AB14), $AG$86:$AG$89, 0))</f>
        <v>Alemanha</v>
      </c>
      <c r="AD14" s="86">
        <f t="shared" ref="AD14:AD17" si="17">VLOOKUP(AC14, $AC$86:$AF$89, 2, 0)</f>
        <v>9</v>
      </c>
      <c r="AE14" s="86">
        <f t="shared" ref="AE14:AE17" si="18">VLOOKUP(AC14, $AC$86:$AF$89, 3, 0)</f>
        <v>4</v>
      </c>
      <c r="AF14" s="86">
        <f t="shared" ref="AF14:AF17" si="19">VLOOKUP(AC14, $AC$86:$AF$89, 4, 0)</f>
        <v>5</v>
      </c>
      <c r="AG14" s="1"/>
      <c r="AH14" s="36">
        <v>1</v>
      </c>
      <c r="AI14" s="37" t="str">
        <f t="shared" ref="AI14:AI17" si="20">INDEX($AI$86:$AI$89, MATCH(LARGE($AM$86:$AM$89, AH14), $AM$86:$AM$89, 0))</f>
        <v>Holanda</v>
      </c>
      <c r="AJ14" s="88">
        <f t="shared" ref="AJ14:AJ17" si="21">VLOOKUP(AI14, $AI$86:$AL$89, 2, 0)</f>
        <v>7</v>
      </c>
      <c r="AK14" s="88">
        <f t="shared" ref="AK14:AK17" si="22">VLOOKUP(AI14, $AI$86:$AL$89, 3, 0)</f>
        <v>2</v>
      </c>
      <c r="AL14" s="88">
        <f t="shared" ref="AL14:AL17" si="23">VLOOKUP(AI14, $AI$86:$AL$89, 4, 0)</f>
        <v>3</v>
      </c>
      <c r="AM14" s="92"/>
      <c r="AN14" s="71"/>
      <c r="AO14" s="1"/>
      <c r="AP14" s="92"/>
      <c r="AQ14" s="92"/>
      <c r="AR14" s="92"/>
      <c r="AS14" s="92"/>
      <c r="AT14" s="71"/>
      <c r="AU14" s="1"/>
      <c r="AV14" s="92"/>
      <c r="AW14" s="92"/>
      <c r="AX14" s="92"/>
      <c r="AY14" s="1"/>
      <c r="AZ14" s="1"/>
      <c r="BA14" s="1"/>
      <c r="BB14" s="1"/>
      <c r="BC14" s="1"/>
      <c r="BD14" s="1"/>
      <c r="BE14" s="1"/>
      <c r="BF14" s="1"/>
      <c r="BG14" s="71"/>
      <c r="BH14" s="1"/>
      <c r="BI14" s="1"/>
    </row>
    <row r="15" spans="1:61">
      <c r="A15" s="18" t="s">
        <v>31</v>
      </c>
      <c r="B15" s="92">
        <v>2</v>
      </c>
      <c r="C15" s="102" t="s">
        <v>12</v>
      </c>
      <c r="D15" s="92">
        <v>1</v>
      </c>
      <c r="E15" s="19" t="s">
        <v>40</v>
      </c>
      <c r="F15" s="17" t="s">
        <v>39</v>
      </c>
      <c r="G15" s="16">
        <f>IF(B15="", 0, IF(B15&gt;D15, 3, IF(B15=D15, 1, 0)))</f>
        <v>3</v>
      </c>
      <c r="H15" s="1">
        <f>IF(D15="", 0, IF(D15&gt;B15, 3, IF(D15=B15, 1, 0)))</f>
        <v>0</v>
      </c>
      <c r="I15" s="1"/>
      <c r="J15" s="18" t="s">
        <v>41</v>
      </c>
      <c r="K15" s="92">
        <v>2</v>
      </c>
      <c r="L15" s="102" t="s">
        <v>12</v>
      </c>
      <c r="M15" s="92">
        <v>0</v>
      </c>
      <c r="N15" s="19" t="s">
        <v>31</v>
      </c>
      <c r="O15" s="17" t="s">
        <v>54</v>
      </c>
      <c r="P15" s="72">
        <f>IF(K15="", 0, IF(K15&gt;M15, 3, IF(K15=M15, 1, 0)))</f>
        <v>3</v>
      </c>
      <c r="Q15" s="1">
        <f>IF(M15="", 0, IF(M15&gt;K15, 3, IF(M15=K15, 1, 0)))</f>
        <v>0</v>
      </c>
      <c r="R15" s="1"/>
      <c r="S15" s="34" t="s">
        <v>55</v>
      </c>
      <c r="T15" s="92">
        <v>0</v>
      </c>
      <c r="U15" s="86" t="s">
        <v>12</v>
      </c>
      <c r="V15" s="92">
        <v>1</v>
      </c>
      <c r="W15" s="35" t="s">
        <v>56</v>
      </c>
      <c r="X15" s="17" t="s">
        <v>57</v>
      </c>
      <c r="Y15" s="1">
        <f>IF(T15="", 0, IF(T15&gt;V15, 3, IF(T15=V15, 1, 0)))</f>
        <v>0</v>
      </c>
      <c r="Z15" s="1">
        <f>IF(V15="", 0, IF(V15&gt;T15, 3, IF(V15=T15, 1, 0)))</f>
        <v>3</v>
      </c>
      <c r="AA15" s="1"/>
      <c r="AB15" s="34">
        <v>2</v>
      </c>
      <c r="AC15" s="35" t="str">
        <f t="shared" si="16"/>
        <v>Equador</v>
      </c>
      <c r="AD15" s="86">
        <f t="shared" si="17"/>
        <v>3</v>
      </c>
      <c r="AE15" s="86">
        <f t="shared" si="18"/>
        <v>0</v>
      </c>
      <c r="AF15" s="86">
        <f t="shared" si="19"/>
        <v>3</v>
      </c>
      <c r="AG15" s="1"/>
      <c r="AH15" s="36">
        <v>2</v>
      </c>
      <c r="AI15" s="37" t="str">
        <f t="shared" si="20"/>
        <v>Japão</v>
      </c>
      <c r="AJ15" s="88">
        <f t="shared" si="21"/>
        <v>5</v>
      </c>
      <c r="AK15" s="88">
        <f t="shared" si="22"/>
        <v>1</v>
      </c>
      <c r="AL15" s="88">
        <f t="shared" si="23"/>
        <v>2</v>
      </c>
      <c r="AM15" s="92"/>
      <c r="AN15" s="71"/>
      <c r="AO15" s="1"/>
      <c r="AP15" s="92"/>
      <c r="AQ15" s="92"/>
      <c r="AR15" s="92"/>
      <c r="AS15" s="92"/>
      <c r="AT15" s="71"/>
      <c r="AU15" s="1"/>
      <c r="AV15" s="92"/>
      <c r="AW15" s="92"/>
      <c r="AX15" s="92"/>
      <c r="AY15" s="1"/>
      <c r="AZ15" s="1"/>
      <c r="BA15" s="1"/>
      <c r="BB15" s="1"/>
      <c r="BC15" s="1"/>
      <c r="BD15" s="1"/>
      <c r="BE15" s="1"/>
      <c r="BF15" s="1"/>
      <c r="BG15" s="71"/>
      <c r="BH15" s="1"/>
      <c r="BI15" s="1"/>
    </row>
    <row r="16" spans="1:61">
      <c r="A16" s="111" t="s">
        <v>58</v>
      </c>
      <c r="B16" s="106"/>
      <c r="C16" s="106"/>
      <c r="D16" s="106"/>
      <c r="E16" s="106"/>
      <c r="F16" s="8">
        <v>46187</v>
      </c>
      <c r="G16" s="9"/>
      <c r="H16" s="1"/>
      <c r="I16" s="1"/>
      <c r="J16" s="111" t="s">
        <v>59</v>
      </c>
      <c r="K16" s="106"/>
      <c r="L16" s="106"/>
      <c r="M16" s="106"/>
      <c r="N16" s="106"/>
      <c r="O16" s="8">
        <v>46193</v>
      </c>
      <c r="P16" s="9"/>
      <c r="Q16" s="1"/>
      <c r="R16" s="1"/>
      <c r="S16" s="108" t="s">
        <v>60</v>
      </c>
      <c r="T16" s="106"/>
      <c r="U16" s="106"/>
      <c r="V16" s="106"/>
      <c r="W16" s="106"/>
      <c r="X16" s="8">
        <v>46198</v>
      </c>
      <c r="Y16" s="1"/>
      <c r="Z16" s="1"/>
      <c r="AA16" s="1"/>
      <c r="AB16" s="34">
        <v>3</v>
      </c>
      <c r="AC16" s="35" t="str">
        <f t="shared" si="16"/>
        <v>Curaçao</v>
      </c>
      <c r="AD16" s="86">
        <f t="shared" si="17"/>
        <v>3</v>
      </c>
      <c r="AE16" s="86">
        <f t="shared" si="18"/>
        <v>-1</v>
      </c>
      <c r="AF16" s="86">
        <f t="shared" si="19"/>
        <v>2</v>
      </c>
      <c r="AG16" s="1"/>
      <c r="AH16" s="36">
        <v>3</v>
      </c>
      <c r="AI16" s="37" t="str">
        <f t="shared" si="20"/>
        <v>Tunísia</v>
      </c>
      <c r="AJ16" s="88">
        <f t="shared" si="21"/>
        <v>4</v>
      </c>
      <c r="AK16" s="88">
        <f t="shared" si="22"/>
        <v>0</v>
      </c>
      <c r="AL16" s="88">
        <f t="shared" si="23"/>
        <v>3</v>
      </c>
      <c r="AM16" s="92"/>
      <c r="AN16" s="71"/>
      <c r="AO16" s="1"/>
      <c r="AP16" s="92"/>
      <c r="AQ16" s="92"/>
      <c r="AR16" s="92"/>
      <c r="AS16" s="92"/>
      <c r="AT16" s="71"/>
      <c r="AU16" s="1"/>
      <c r="AV16" s="92"/>
      <c r="AW16" s="92"/>
      <c r="AX16" s="92"/>
      <c r="AY16" s="1"/>
      <c r="AZ16" s="1"/>
      <c r="BA16" s="1"/>
      <c r="BB16" s="1"/>
      <c r="BC16" s="1"/>
      <c r="BD16" s="1"/>
      <c r="BE16" s="1"/>
      <c r="BF16" s="1"/>
      <c r="BG16" s="71"/>
      <c r="BH16" s="1"/>
      <c r="BI16" s="1"/>
    </row>
    <row r="17" spans="1:59">
      <c r="A17" s="26" t="s">
        <v>45</v>
      </c>
      <c r="B17" s="92">
        <v>0</v>
      </c>
      <c r="C17" s="87" t="s">
        <v>12</v>
      </c>
      <c r="D17" s="92">
        <v>1</v>
      </c>
      <c r="E17" s="27" t="s">
        <v>61</v>
      </c>
      <c r="F17" s="17" t="s">
        <v>62</v>
      </c>
      <c r="G17" s="16">
        <f>IF(B17="", 0, IF(B17&gt;D17, 3, IF(B17=D17, 1, 0)))</f>
        <v>0</v>
      </c>
      <c r="H17" s="1">
        <f>IF(D17="", 0, IF(D17&gt;B17, 3, IF(D17=B17, 1, 0)))</f>
        <v>3</v>
      </c>
      <c r="I17" s="1"/>
      <c r="J17" s="26" t="s">
        <v>61</v>
      </c>
      <c r="K17" s="92">
        <v>2</v>
      </c>
      <c r="L17" s="87" t="s">
        <v>12</v>
      </c>
      <c r="M17" s="92">
        <v>0</v>
      </c>
      <c r="N17" s="27" t="s">
        <v>38</v>
      </c>
      <c r="O17" s="17" t="s">
        <v>63</v>
      </c>
      <c r="P17" s="72">
        <f>IF(K17="", 0, IF(K17&gt;M17, 3, IF(K17=M17, 1, 0)))</f>
        <v>3</v>
      </c>
      <c r="Q17" s="1">
        <f>IF(M17="", 0, IF(M17&gt;K17, 3, IF(M17=K17, 1, 0)))</f>
        <v>0</v>
      </c>
      <c r="R17" s="1"/>
      <c r="S17" s="34" t="s">
        <v>64</v>
      </c>
      <c r="T17" s="92">
        <v>0</v>
      </c>
      <c r="U17" s="86" t="s">
        <v>12</v>
      </c>
      <c r="V17" s="92">
        <v>2</v>
      </c>
      <c r="W17" s="35" t="s">
        <v>65</v>
      </c>
      <c r="X17" s="17" t="s">
        <v>57</v>
      </c>
      <c r="Y17" s="1">
        <f>IF(T17="", 0, IF(T17&gt;V17, 3, IF(T17=V17, 1, 0)))</f>
        <v>0</v>
      </c>
      <c r="Z17" s="1">
        <f>IF(V17="", 0, IF(V17&gt;T17, 3, IF(V17=T17, 1, 0)))</f>
        <v>3</v>
      </c>
      <c r="AA17" s="1"/>
      <c r="AB17" s="34">
        <v>4</v>
      </c>
      <c r="AC17" s="35" t="str">
        <f t="shared" si="16"/>
        <v>Costa do Marfim</v>
      </c>
      <c r="AD17" s="86">
        <f t="shared" si="17"/>
        <v>3</v>
      </c>
      <c r="AE17" s="86">
        <f t="shared" si="18"/>
        <v>-3</v>
      </c>
      <c r="AF17" s="86">
        <f t="shared" si="19"/>
        <v>1</v>
      </c>
      <c r="AG17" s="1"/>
      <c r="AH17" s="36">
        <v>4</v>
      </c>
      <c r="AI17" s="37" t="str">
        <f t="shared" si="20"/>
        <v>Suécia</v>
      </c>
      <c r="AJ17" s="88">
        <f t="shared" si="21"/>
        <v>0</v>
      </c>
      <c r="AK17" s="88">
        <f t="shared" si="22"/>
        <v>-3</v>
      </c>
      <c r="AL17" s="88">
        <f t="shared" si="23"/>
        <v>2</v>
      </c>
      <c r="AM17" s="92"/>
      <c r="AN17" s="71"/>
      <c r="AO17" s="1"/>
      <c r="AP17" s="92"/>
      <c r="AQ17" s="92"/>
      <c r="AR17" s="92"/>
      <c r="AS17" s="92"/>
      <c r="AT17" s="71"/>
      <c r="AU17" s="1"/>
      <c r="AV17" s="92"/>
      <c r="AW17" s="92"/>
      <c r="AX17" s="92"/>
      <c r="AY17" s="93"/>
      <c r="AZ17" s="93"/>
      <c r="BA17" s="93"/>
      <c r="BB17" s="93"/>
      <c r="BC17" s="93"/>
      <c r="BD17" s="93"/>
      <c r="BE17" s="93"/>
      <c r="BF17" s="93"/>
      <c r="BG17" s="71"/>
    </row>
    <row r="18" spans="1:59">
      <c r="A18" s="108" t="s">
        <v>66</v>
      </c>
      <c r="B18" s="106"/>
      <c r="C18" s="106"/>
      <c r="D18" s="106"/>
      <c r="E18" s="106"/>
      <c r="F18" s="8">
        <v>46187</v>
      </c>
      <c r="G18" s="9"/>
      <c r="H18" s="1"/>
      <c r="I18" s="1"/>
      <c r="J18" s="123" t="s">
        <v>67</v>
      </c>
      <c r="K18" s="106"/>
      <c r="L18" s="106"/>
      <c r="M18" s="106"/>
      <c r="N18" s="106"/>
      <c r="O18" s="8">
        <v>46193</v>
      </c>
      <c r="P18" s="9"/>
      <c r="Q18" s="1"/>
      <c r="R18" s="1"/>
      <c r="S18" s="123" t="s">
        <v>68</v>
      </c>
      <c r="T18" s="106"/>
      <c r="U18" s="106"/>
      <c r="V18" s="106"/>
      <c r="W18" s="106"/>
      <c r="X18" s="8">
        <v>46198</v>
      </c>
      <c r="Y18" s="1"/>
      <c r="Z18" s="1"/>
      <c r="AA18" s="1"/>
      <c r="AB18" s="71"/>
      <c r="AC18" s="1"/>
      <c r="AD18" s="92"/>
      <c r="AE18" s="92"/>
      <c r="AF18" s="92"/>
      <c r="AG18" s="1"/>
      <c r="AH18" s="71"/>
      <c r="AI18" s="1"/>
      <c r="AJ18" s="92"/>
      <c r="AK18" s="92"/>
      <c r="AL18" s="92"/>
      <c r="AM18" s="92"/>
      <c r="AN18" s="71"/>
      <c r="AO18" s="1"/>
      <c r="AP18" s="92"/>
      <c r="AQ18" s="92"/>
      <c r="AR18" s="92"/>
      <c r="AS18" s="92"/>
      <c r="AT18" s="71"/>
      <c r="AU18" s="1"/>
      <c r="AV18" s="92"/>
      <c r="AW18" s="92"/>
      <c r="AX18" s="92"/>
      <c r="AY18" s="93"/>
      <c r="AZ18" s="93"/>
      <c r="BA18" s="93"/>
      <c r="BB18" s="93"/>
      <c r="BC18" s="93"/>
      <c r="BD18" s="93"/>
      <c r="BE18" s="93"/>
      <c r="BF18" s="93"/>
      <c r="BG18" s="71"/>
    </row>
    <row r="19" spans="1:59">
      <c r="A19" s="34" t="s">
        <v>65</v>
      </c>
      <c r="B19" s="92">
        <v>2</v>
      </c>
      <c r="C19" s="86" t="s">
        <v>12</v>
      </c>
      <c r="D19" s="92">
        <v>1</v>
      </c>
      <c r="E19" s="35" t="s">
        <v>55</v>
      </c>
      <c r="F19" s="17" t="s">
        <v>69</v>
      </c>
      <c r="G19" s="16">
        <f>IF(B19="", 0, IF(B19&gt;D19, 3, IF(B19=D19, 1, 0)))</f>
        <v>3</v>
      </c>
      <c r="H19" s="1">
        <f>IF(D19="", 0, IF(D19&gt;B19, 3, IF(D19=B19, 1, 0)))</f>
        <v>0</v>
      </c>
      <c r="I19" s="1"/>
      <c r="J19" s="36" t="s">
        <v>70</v>
      </c>
      <c r="K19" s="92">
        <v>2</v>
      </c>
      <c r="L19" s="88" t="s">
        <v>12</v>
      </c>
      <c r="M19" s="92">
        <v>1</v>
      </c>
      <c r="N19" s="37" t="s">
        <v>71</v>
      </c>
      <c r="O19" s="17" t="s">
        <v>69</v>
      </c>
      <c r="P19" s="72">
        <f>IF(K19="", 0, IF(K19&gt;M19, 3, IF(K19=M19, 1, 0)))</f>
        <v>3</v>
      </c>
      <c r="Q19" s="1">
        <f>IF(M19="", 0, IF(M19&gt;K19, 3, IF(M19=K19, 1, 0)))</f>
        <v>0</v>
      </c>
      <c r="R19" s="1"/>
      <c r="S19" s="36" t="s">
        <v>72</v>
      </c>
      <c r="T19" s="92">
        <v>0</v>
      </c>
      <c r="U19" s="88" t="s">
        <v>12</v>
      </c>
      <c r="V19" s="92">
        <v>1</v>
      </c>
      <c r="W19" s="37" t="s">
        <v>70</v>
      </c>
      <c r="X19" s="17" t="s">
        <v>73</v>
      </c>
      <c r="Y19" s="1">
        <f>IF(T19="", 0, IF(T19&gt;V19, 3, IF(T19=V19, 1, 0)))</f>
        <v>0</v>
      </c>
      <c r="Z19" s="1">
        <f>IF(V19="", 0, IF(V19&gt;T19, 3, IF(V19=T19, 1, 0)))</f>
        <v>3</v>
      </c>
      <c r="AA19" s="1"/>
      <c r="AB19" s="38"/>
      <c r="AC19" s="39" t="s">
        <v>74</v>
      </c>
      <c r="AD19" s="40" t="s">
        <v>4</v>
      </c>
      <c r="AE19" s="40" t="s">
        <v>5</v>
      </c>
      <c r="AF19" s="40" t="s">
        <v>6</v>
      </c>
      <c r="AG19" s="92"/>
      <c r="AH19" s="41"/>
      <c r="AI19" s="42" t="s">
        <v>75</v>
      </c>
      <c r="AJ19" s="43" t="s">
        <v>4</v>
      </c>
      <c r="AK19" s="43" t="s">
        <v>5</v>
      </c>
      <c r="AL19" s="43" t="s">
        <v>6</v>
      </c>
      <c r="AM19" s="92"/>
      <c r="AN19" s="71"/>
      <c r="AO19" s="1"/>
      <c r="AP19" s="92"/>
      <c r="AQ19" s="92"/>
      <c r="AR19" s="92"/>
      <c r="AS19" s="92"/>
      <c r="AT19" s="71"/>
      <c r="AU19" s="1"/>
      <c r="AV19" s="92"/>
      <c r="AW19" s="92"/>
      <c r="AX19" s="92"/>
      <c r="AY19" s="93"/>
      <c r="AZ19" s="93"/>
      <c r="BA19" s="93"/>
      <c r="BB19" s="93"/>
      <c r="BC19" s="93"/>
      <c r="BD19" s="93"/>
      <c r="BE19" s="93"/>
      <c r="BF19" s="93"/>
      <c r="BG19" s="71"/>
    </row>
    <row r="20" spans="1:59">
      <c r="A20" s="123" t="s">
        <v>76</v>
      </c>
      <c r="B20" s="106"/>
      <c r="C20" s="106"/>
      <c r="D20" s="106"/>
      <c r="E20" s="106"/>
      <c r="F20" s="8">
        <v>46187</v>
      </c>
      <c r="G20" s="9"/>
      <c r="H20" s="1"/>
      <c r="I20" s="1"/>
      <c r="J20" s="108" t="s">
        <v>77</v>
      </c>
      <c r="K20" s="106"/>
      <c r="L20" s="106"/>
      <c r="M20" s="106"/>
      <c r="N20" s="106"/>
      <c r="O20" s="8">
        <v>46193</v>
      </c>
      <c r="P20" s="9"/>
      <c r="Q20" s="1"/>
      <c r="R20" s="1"/>
      <c r="S20" s="123" t="s">
        <v>78</v>
      </c>
      <c r="T20" s="106"/>
      <c r="U20" s="106"/>
      <c r="V20" s="106"/>
      <c r="W20" s="106"/>
      <c r="X20" s="8">
        <v>46198</v>
      </c>
      <c r="Y20" s="1"/>
      <c r="Z20" s="1"/>
      <c r="AA20" s="1"/>
      <c r="AB20" s="44">
        <v>1</v>
      </c>
      <c r="AC20" s="45" t="str">
        <f t="shared" ref="AC20:AC23" si="24">INDEX($AO$86:$AO$89, MATCH(LARGE($AS$86:$AS$89, AB20), $AS$86:$AS$89, 0))</f>
        <v>Bélgica</v>
      </c>
      <c r="AD20" s="90">
        <f t="shared" ref="AD20:AD23" si="25">VLOOKUP(AC20, $AO$86:$AR$89, 2, 0)</f>
        <v>7</v>
      </c>
      <c r="AE20" s="90">
        <f t="shared" ref="AE20:AE23" si="26">VLOOKUP(AC20, $AO$86:$AR$89, 3, 0)</f>
        <v>3</v>
      </c>
      <c r="AF20" s="90">
        <f t="shared" ref="AF20:AF23" si="27">VLOOKUP(AC20, $AO$86:$AR$89, 4, 0)</f>
        <v>4</v>
      </c>
      <c r="AG20" s="92"/>
      <c r="AH20" s="46">
        <v>1</v>
      </c>
      <c r="AI20" s="47" t="str">
        <f t="shared" ref="AI20:AI23" si="28">INDEX($AU$86:$AU$89, MATCH(LARGE($AY$86:$AY$89, AH20), $AY$86:$AY$89, 0))</f>
        <v>Espanha</v>
      </c>
      <c r="AJ20" s="89">
        <f t="shared" ref="AJ20:AJ23" si="29">VLOOKUP(AI20, $AU$86:$AX$89, 2, 0)</f>
        <v>9</v>
      </c>
      <c r="AK20" s="89">
        <f t="shared" ref="AK20:AK23" si="30">VLOOKUP(AI20, $AU$86:$AX$89, 3, 0)</f>
        <v>6</v>
      </c>
      <c r="AL20" s="89">
        <f t="shared" ref="AL20:AL23" si="31">VLOOKUP(AI20, $AU$86:$AX$89, 4, 0)</f>
        <v>7</v>
      </c>
      <c r="AM20" s="92"/>
      <c r="AN20" s="71"/>
      <c r="AO20" s="1"/>
      <c r="AP20" s="92"/>
      <c r="AQ20" s="92"/>
      <c r="AR20" s="92"/>
      <c r="AS20" s="92"/>
      <c r="AT20" s="71"/>
      <c r="AU20" s="1"/>
      <c r="AV20" s="92"/>
      <c r="AW20" s="92"/>
      <c r="AX20" s="92"/>
      <c r="AY20" s="93"/>
      <c r="AZ20" s="93"/>
      <c r="BA20" s="93"/>
      <c r="BB20" s="93"/>
      <c r="BC20" s="93"/>
      <c r="BD20" s="93"/>
      <c r="BE20" s="93"/>
      <c r="BF20" s="93"/>
      <c r="BG20" s="71"/>
    </row>
    <row r="21" spans="1:59" ht="15.75" customHeight="1">
      <c r="A21" s="36" t="s">
        <v>70</v>
      </c>
      <c r="B21" s="92">
        <v>0</v>
      </c>
      <c r="C21" s="88" t="s">
        <v>12</v>
      </c>
      <c r="D21" s="92">
        <v>0</v>
      </c>
      <c r="E21" s="37" t="s">
        <v>79</v>
      </c>
      <c r="F21" s="17" t="s">
        <v>57</v>
      </c>
      <c r="G21" s="16">
        <f>IF(B21="", 0, IF(B21&gt;D21, 3, IF(B21=D21, 1, 0)))</f>
        <v>1</v>
      </c>
      <c r="H21" s="1">
        <f>IF(D21="", 0, IF(D21&gt;B21, 3, IF(D21=B21, 1, 0)))</f>
        <v>1</v>
      </c>
      <c r="I21" s="1"/>
      <c r="J21" s="34" t="s">
        <v>65</v>
      </c>
      <c r="K21" s="92">
        <v>1</v>
      </c>
      <c r="L21" s="86" t="s">
        <v>12</v>
      </c>
      <c r="M21" s="92">
        <v>0</v>
      </c>
      <c r="N21" s="35" t="s">
        <v>56</v>
      </c>
      <c r="O21" s="17" t="s">
        <v>57</v>
      </c>
      <c r="P21" s="72">
        <f>IF(K21="", 0, IF(K21&gt;M21, 3, IF(K21=M21, 1, 0)))</f>
        <v>3</v>
      </c>
      <c r="Q21" s="1">
        <f>IF(M21="", 0, IF(M21&gt;K21, 3, IF(M21=K21, 1, 0)))</f>
        <v>0</v>
      </c>
      <c r="R21" s="1"/>
      <c r="S21" s="36" t="s">
        <v>79</v>
      </c>
      <c r="T21" s="92">
        <v>1</v>
      </c>
      <c r="U21" s="88" t="s">
        <v>12</v>
      </c>
      <c r="V21" s="92">
        <v>0</v>
      </c>
      <c r="W21" s="37" t="s">
        <v>71</v>
      </c>
      <c r="X21" s="17" t="s">
        <v>73</v>
      </c>
      <c r="Y21" s="1">
        <f>IF(T21="", 0, IF(T21&gt;V21, 3, IF(T21=V21, 1, 0)))</f>
        <v>3</v>
      </c>
      <c r="Z21" s="1">
        <f>IF(V21="", 0, IF(V21&gt;T21, 3, IF(V21=T21, 1, 0)))</f>
        <v>0</v>
      </c>
      <c r="AA21" s="1"/>
      <c r="AB21" s="44">
        <v>2</v>
      </c>
      <c r="AC21" s="45" t="str">
        <f t="shared" si="24"/>
        <v>Nova Zelândia</v>
      </c>
      <c r="AD21" s="90">
        <f t="shared" si="25"/>
        <v>4</v>
      </c>
      <c r="AE21" s="90">
        <f t="shared" si="26"/>
        <v>-1</v>
      </c>
      <c r="AF21" s="90">
        <f t="shared" si="27"/>
        <v>3</v>
      </c>
      <c r="AG21" s="92"/>
      <c r="AH21" s="46">
        <v>2</v>
      </c>
      <c r="AI21" s="47" t="str">
        <f t="shared" si="28"/>
        <v>Cabo Verde</v>
      </c>
      <c r="AJ21" s="89">
        <f t="shared" si="29"/>
        <v>3</v>
      </c>
      <c r="AK21" s="89">
        <f t="shared" si="30"/>
        <v>-1</v>
      </c>
      <c r="AL21" s="89">
        <f t="shared" si="31"/>
        <v>2</v>
      </c>
      <c r="AM21" s="92"/>
      <c r="AN21" s="71"/>
      <c r="AO21" s="1"/>
      <c r="AP21" s="92"/>
      <c r="AQ21" s="92"/>
      <c r="AR21" s="92"/>
      <c r="AS21" s="92"/>
      <c r="AT21" s="71"/>
      <c r="AU21" s="1"/>
      <c r="AV21" s="92"/>
      <c r="AW21" s="92"/>
      <c r="AX21" s="92"/>
      <c r="AY21" s="93"/>
      <c r="AZ21" s="93"/>
      <c r="BA21" s="93"/>
      <c r="BB21" s="93"/>
      <c r="BC21" s="93"/>
      <c r="BD21" s="93"/>
      <c r="BE21" s="93"/>
      <c r="BF21" s="93"/>
      <c r="BG21" s="71"/>
    </row>
    <row r="22" spans="1:59" ht="15.75" customHeight="1">
      <c r="A22" s="108" t="s">
        <v>80</v>
      </c>
      <c r="B22" s="106"/>
      <c r="C22" s="106"/>
      <c r="D22" s="106"/>
      <c r="E22" s="106"/>
      <c r="F22" s="8">
        <v>46187</v>
      </c>
      <c r="G22" s="9"/>
      <c r="H22" s="1"/>
      <c r="I22" s="1"/>
      <c r="J22" s="108" t="s">
        <v>81</v>
      </c>
      <c r="K22" s="106"/>
      <c r="L22" s="106"/>
      <c r="M22" s="106"/>
      <c r="N22" s="106"/>
      <c r="O22" s="8">
        <v>46193</v>
      </c>
      <c r="P22" s="9"/>
      <c r="Q22" s="1"/>
      <c r="R22" s="1"/>
      <c r="S22" s="111" t="s">
        <v>82</v>
      </c>
      <c r="T22" s="106"/>
      <c r="U22" s="106"/>
      <c r="V22" s="106"/>
      <c r="W22" s="106"/>
      <c r="X22" s="8">
        <v>46198</v>
      </c>
      <c r="Y22" s="1"/>
      <c r="Z22" s="1"/>
      <c r="AA22" s="1"/>
      <c r="AB22" s="44">
        <v>3</v>
      </c>
      <c r="AC22" s="45" t="str">
        <f t="shared" si="24"/>
        <v>Egito</v>
      </c>
      <c r="AD22" s="90">
        <f t="shared" si="25"/>
        <v>3</v>
      </c>
      <c r="AE22" s="90">
        <f t="shared" si="26"/>
        <v>0</v>
      </c>
      <c r="AF22" s="90">
        <f t="shared" si="27"/>
        <v>4</v>
      </c>
      <c r="AG22" s="92"/>
      <c r="AH22" s="46">
        <v>3</v>
      </c>
      <c r="AI22" s="47" t="str">
        <f t="shared" si="28"/>
        <v>Arábia Saudita</v>
      </c>
      <c r="AJ22" s="89">
        <f t="shared" si="29"/>
        <v>3</v>
      </c>
      <c r="AK22" s="89">
        <f t="shared" si="30"/>
        <v>-2</v>
      </c>
      <c r="AL22" s="89">
        <f t="shared" si="31"/>
        <v>3</v>
      </c>
      <c r="AM22" s="92"/>
      <c r="AN22" s="71"/>
      <c r="AO22" s="1"/>
      <c r="AP22" s="92"/>
      <c r="AQ22" s="92"/>
      <c r="AR22" s="92"/>
      <c r="AS22" s="92"/>
      <c r="AT22" s="71"/>
      <c r="AU22" s="1"/>
      <c r="AV22" s="92"/>
      <c r="AW22" s="92"/>
      <c r="AX22" s="92"/>
      <c r="AY22" s="93"/>
      <c r="AZ22" s="93"/>
      <c r="BA22" s="93"/>
      <c r="BB22" s="93"/>
      <c r="BC22" s="93"/>
      <c r="BD22" s="93"/>
      <c r="BE22" s="93"/>
      <c r="BF22" s="93"/>
      <c r="BG22" s="71"/>
    </row>
    <row r="23" spans="1:59" ht="15.75" customHeight="1">
      <c r="A23" s="34" t="s">
        <v>56</v>
      </c>
      <c r="B23" s="92">
        <v>0</v>
      </c>
      <c r="C23" s="86" t="s">
        <v>12</v>
      </c>
      <c r="D23" s="92">
        <v>3</v>
      </c>
      <c r="E23" s="35" t="s">
        <v>64</v>
      </c>
      <c r="F23" s="17" t="s">
        <v>73</v>
      </c>
      <c r="G23" s="16">
        <f>IF(B23="", 0, IF(B23&gt;D23, 3, IF(B23=D23, 1, 0)))</f>
        <v>0</v>
      </c>
      <c r="H23" s="1">
        <f>IF(D23="", 0, IF(D23&gt;B23, 3, IF(D23=B23, 1, 0)))</f>
        <v>3</v>
      </c>
      <c r="I23" s="1"/>
      <c r="J23" s="34" t="s">
        <v>64</v>
      </c>
      <c r="K23" s="92">
        <v>0</v>
      </c>
      <c r="L23" s="86" t="s">
        <v>12</v>
      </c>
      <c r="M23" s="92">
        <v>1</v>
      </c>
      <c r="N23" s="35" t="s">
        <v>55</v>
      </c>
      <c r="O23" s="17" t="s">
        <v>83</v>
      </c>
      <c r="P23" s="72">
        <f>IF(K23="", 0, IF(K23&gt;M23, 3, IF(K23=M23, 1, 0)))</f>
        <v>0</v>
      </c>
      <c r="Q23" s="1">
        <f>IF(M23="", 0, IF(M23&gt;K23, 3, IF(M23=K23, 1, 0)))</f>
        <v>3</v>
      </c>
      <c r="R23" s="1"/>
      <c r="S23" s="26" t="s">
        <v>61</v>
      </c>
      <c r="T23" s="92">
        <v>0</v>
      </c>
      <c r="U23" s="87" t="s">
        <v>12</v>
      </c>
      <c r="V23" s="92">
        <v>2</v>
      </c>
      <c r="W23" s="27" t="s">
        <v>37</v>
      </c>
      <c r="X23" s="17" t="s">
        <v>23</v>
      </c>
      <c r="Y23" s="1">
        <f>IF(T23="", 0, IF(T23&gt;V23, 3, IF(T23=V23, 1, 0)))</f>
        <v>0</v>
      </c>
      <c r="Z23" s="1">
        <f>IF(V23="", 0, IF(V23&gt;T23, 3, IF(V23=T23, 1, 0)))</f>
        <v>3</v>
      </c>
      <c r="AA23" s="1"/>
      <c r="AB23" s="44">
        <v>4</v>
      </c>
      <c r="AC23" s="45" t="str">
        <f t="shared" si="24"/>
        <v>Irã</v>
      </c>
      <c r="AD23" s="90">
        <f t="shared" si="25"/>
        <v>1</v>
      </c>
      <c r="AE23" s="90">
        <f t="shared" si="26"/>
        <v>-2</v>
      </c>
      <c r="AF23" s="90">
        <f t="shared" si="27"/>
        <v>1</v>
      </c>
      <c r="AG23" s="92"/>
      <c r="AH23" s="46">
        <v>4</v>
      </c>
      <c r="AI23" s="47" t="str">
        <f t="shared" si="28"/>
        <v>Uruguai</v>
      </c>
      <c r="AJ23" s="89">
        <f t="shared" si="29"/>
        <v>3</v>
      </c>
      <c r="AK23" s="89">
        <f t="shared" si="30"/>
        <v>-3</v>
      </c>
      <c r="AL23" s="89">
        <f t="shared" si="31"/>
        <v>3</v>
      </c>
      <c r="AM23" s="92"/>
      <c r="AN23" s="71"/>
      <c r="AO23" s="1"/>
      <c r="AP23" s="92"/>
      <c r="AQ23" s="92"/>
      <c r="AR23" s="92"/>
      <c r="AS23" s="92"/>
      <c r="AT23" s="71"/>
      <c r="AU23" s="1"/>
      <c r="AV23" s="92"/>
      <c r="AW23" s="92"/>
      <c r="AX23" s="92"/>
      <c r="AY23" s="93"/>
      <c r="AZ23" s="93"/>
      <c r="BA23" s="93"/>
      <c r="BB23" s="93"/>
      <c r="BC23" s="93"/>
      <c r="BD23" s="93"/>
      <c r="BE23" s="93"/>
      <c r="BF23" s="93"/>
      <c r="BG23" s="71"/>
    </row>
    <row r="24" spans="1:59" ht="15.75" customHeight="1">
      <c r="A24" s="123" t="s">
        <v>84</v>
      </c>
      <c r="B24" s="106"/>
      <c r="C24" s="106"/>
      <c r="D24" s="106"/>
      <c r="E24" s="106"/>
      <c r="F24" s="8">
        <v>46187</v>
      </c>
      <c r="G24" s="9"/>
      <c r="H24" s="1"/>
      <c r="I24" s="1"/>
      <c r="J24" s="123" t="s">
        <v>85</v>
      </c>
      <c r="K24" s="106"/>
      <c r="L24" s="106"/>
      <c r="M24" s="106"/>
      <c r="N24" s="106"/>
      <c r="O24" s="8">
        <v>46194</v>
      </c>
      <c r="P24" s="9"/>
      <c r="Q24" s="1"/>
      <c r="R24" s="1"/>
      <c r="S24" s="111" t="s">
        <v>86</v>
      </c>
      <c r="T24" s="106"/>
      <c r="U24" s="106"/>
      <c r="V24" s="106"/>
      <c r="W24" s="106"/>
      <c r="X24" s="8">
        <v>46198</v>
      </c>
      <c r="Y24" s="1"/>
      <c r="Z24" s="1"/>
      <c r="AA24" s="1"/>
      <c r="AB24" s="71"/>
      <c r="AC24" s="1"/>
      <c r="AD24" s="92"/>
      <c r="AE24" s="92"/>
      <c r="AF24" s="92"/>
      <c r="AG24" s="1"/>
      <c r="AH24" s="71"/>
      <c r="AI24" s="1"/>
      <c r="AJ24" s="92"/>
      <c r="AK24" s="92"/>
      <c r="AL24" s="92"/>
      <c r="AM24" s="92"/>
      <c r="AN24" s="71"/>
      <c r="AO24" s="1"/>
      <c r="AP24" s="92"/>
      <c r="AQ24" s="92"/>
      <c r="AR24" s="92"/>
      <c r="AS24" s="92"/>
      <c r="AT24" s="71"/>
      <c r="AU24" s="1"/>
      <c r="AV24" s="92"/>
      <c r="AW24" s="92"/>
      <c r="AX24" s="92"/>
      <c r="AY24" s="93"/>
      <c r="AZ24" s="93"/>
      <c r="BA24" s="93"/>
      <c r="BB24" s="93"/>
      <c r="BC24" s="93"/>
      <c r="BD24" s="93"/>
      <c r="BE24" s="93"/>
      <c r="BF24" s="93"/>
      <c r="BG24" s="71"/>
    </row>
    <row r="25" spans="1:59" ht="15.75" customHeight="1">
      <c r="A25" s="36" t="s">
        <v>71</v>
      </c>
      <c r="B25" s="92">
        <v>1</v>
      </c>
      <c r="C25" s="88" t="s">
        <v>12</v>
      </c>
      <c r="D25" s="92">
        <v>2</v>
      </c>
      <c r="E25" s="37" t="s">
        <v>72</v>
      </c>
      <c r="F25" s="17" t="s">
        <v>23</v>
      </c>
      <c r="G25" s="16">
        <f>IF(B25="", 0, IF(B25&gt;D25, 3, IF(B25=D25, 1, 0)))</f>
        <v>0</v>
      </c>
      <c r="H25" s="1">
        <f>IF(D25="", 0, IF(D25&gt;B25, 3, IF(D25=B25, 1, 0)))</f>
        <v>3</v>
      </c>
      <c r="I25" s="1"/>
      <c r="J25" s="36" t="s">
        <v>72</v>
      </c>
      <c r="K25" s="92">
        <v>1</v>
      </c>
      <c r="L25" s="88" t="s">
        <v>12</v>
      </c>
      <c r="M25" s="92">
        <v>1</v>
      </c>
      <c r="N25" s="37" t="s">
        <v>79</v>
      </c>
      <c r="O25" s="17" t="s">
        <v>62</v>
      </c>
      <c r="P25" s="72">
        <f>IF(K25="", 0, IF(K25&gt;M25, 3, IF(K25=M25, 1, 0)))</f>
        <v>1</v>
      </c>
      <c r="Q25" s="1">
        <f>IF(M25="", 0, IF(M25&gt;K25, 3, IF(M25=K25, 1, 0)))</f>
        <v>1</v>
      </c>
      <c r="R25" s="1"/>
      <c r="S25" s="26" t="s">
        <v>38</v>
      </c>
      <c r="T25" s="92">
        <v>0</v>
      </c>
      <c r="U25" s="87" t="s">
        <v>12</v>
      </c>
      <c r="V25" s="92">
        <v>0</v>
      </c>
      <c r="W25" s="27" t="s">
        <v>45</v>
      </c>
      <c r="X25" s="17" t="s">
        <v>23</v>
      </c>
      <c r="Y25" s="1">
        <f>IF(T25="", 0, IF(T25&gt;V25, 3, IF(T25=V25, 1, 0)))</f>
        <v>1</v>
      </c>
      <c r="Z25" s="1">
        <f>IF(V25="", 0, IF(V25&gt;T25, 3, IF(V25=T25, 1, 0)))</f>
        <v>1</v>
      </c>
      <c r="AA25" s="1"/>
      <c r="AB25" s="48"/>
      <c r="AC25" s="49" t="s">
        <v>87</v>
      </c>
      <c r="AD25" s="50" t="s">
        <v>4</v>
      </c>
      <c r="AE25" s="50" t="s">
        <v>5</v>
      </c>
      <c r="AF25" s="50" t="s">
        <v>6</v>
      </c>
      <c r="AG25" s="1"/>
      <c r="AH25" s="51"/>
      <c r="AI25" s="52" t="s">
        <v>88</v>
      </c>
      <c r="AJ25" s="53" t="s">
        <v>4</v>
      </c>
      <c r="AK25" s="53" t="s">
        <v>5</v>
      </c>
      <c r="AL25" s="53" t="s">
        <v>6</v>
      </c>
      <c r="AM25" s="92"/>
      <c r="AN25" s="71"/>
      <c r="AO25" s="1"/>
      <c r="AP25" s="92"/>
      <c r="AQ25" s="92"/>
      <c r="AR25" s="92"/>
      <c r="AS25" s="92"/>
      <c r="AT25" s="71"/>
      <c r="AU25" s="1"/>
      <c r="AV25" s="92"/>
      <c r="AW25" s="92"/>
      <c r="AX25" s="92"/>
      <c r="AY25" s="93"/>
      <c r="AZ25" s="93"/>
      <c r="BA25" s="93"/>
      <c r="BB25" s="93"/>
      <c r="BC25" s="93"/>
      <c r="BD25" s="93"/>
      <c r="BE25" s="93"/>
      <c r="BF25" s="93"/>
      <c r="BG25" s="71"/>
    </row>
    <row r="26" spans="1:59" ht="15.75" customHeight="1">
      <c r="A26" s="116" t="s">
        <v>89</v>
      </c>
      <c r="B26" s="106"/>
      <c r="C26" s="106"/>
      <c r="D26" s="106"/>
      <c r="E26" s="106"/>
      <c r="F26" s="8">
        <v>46188</v>
      </c>
      <c r="G26" s="9"/>
      <c r="H26" s="1"/>
      <c r="I26" s="1"/>
      <c r="J26" s="116" t="s">
        <v>90</v>
      </c>
      <c r="K26" s="106"/>
      <c r="L26" s="106"/>
      <c r="M26" s="106"/>
      <c r="N26" s="106"/>
      <c r="O26" s="8">
        <v>46194</v>
      </c>
      <c r="P26" s="9"/>
      <c r="Q26" s="1"/>
      <c r="R26" s="1"/>
      <c r="S26" s="119" t="s">
        <v>91</v>
      </c>
      <c r="T26" s="106"/>
      <c r="U26" s="106"/>
      <c r="V26" s="106"/>
      <c r="W26" s="106"/>
      <c r="X26" s="8">
        <v>46199</v>
      </c>
      <c r="Y26" s="1"/>
      <c r="Z26" s="1"/>
      <c r="AA26" s="1"/>
      <c r="AB26" s="54">
        <v>1</v>
      </c>
      <c r="AC26" s="55" t="str">
        <f t="shared" ref="AC26:AC29" si="32">INDEX($AC$92:$AC$95, MATCH(LARGE($AG$92:$AG$95, AB26), $AG$92:$AG$95, 0))</f>
        <v>França</v>
      </c>
      <c r="AD26" s="91">
        <f t="shared" ref="AD26:AD29" si="33">VLOOKUP(AC26, $AC$92:$AF$95, 2, 0)</f>
        <v>9</v>
      </c>
      <c r="AE26" s="91">
        <f t="shared" ref="AE26:AE29" si="34">VLOOKUP(AC26, $AC$92:$AF$95, 3, 0)</f>
        <v>7</v>
      </c>
      <c r="AF26" s="91">
        <f t="shared" ref="AF26:AF29" si="35">VLOOKUP(AC26, $AC$92:$AF$95, 4, 0)</f>
        <v>7</v>
      </c>
      <c r="AG26" s="1"/>
      <c r="AH26" s="56">
        <v>1</v>
      </c>
      <c r="AI26" s="57" t="str">
        <f t="shared" ref="AI26:AI29" si="36">INDEX($AI$92:$AI$95, MATCH(LARGE($AM$92:$AM$95, AH26), $AM$92:$AM$95, 0))</f>
        <v>Argélia</v>
      </c>
      <c r="AJ26" s="100">
        <f t="shared" ref="AJ26:AJ29" si="37">VLOOKUP(AI26, $AI$92:$AL$95, 2, 0)</f>
        <v>9</v>
      </c>
      <c r="AK26" s="100">
        <f t="shared" ref="AK26:AK29" si="38">VLOOKUP(AI26, $AI$92:$AL$95, 3, 0)</f>
        <v>3</v>
      </c>
      <c r="AL26" s="100">
        <f t="shared" ref="AL26:AL29" si="39">VLOOKUP(AI26, $AI$92:$AL$95, 4, 0)</f>
        <v>4</v>
      </c>
      <c r="AM26" s="92"/>
      <c r="AN26" s="71"/>
      <c r="AO26" s="1"/>
      <c r="AP26" s="92"/>
      <c r="AQ26" s="92"/>
      <c r="AR26" s="92"/>
      <c r="AS26" s="92"/>
      <c r="AT26" s="71"/>
      <c r="AU26" s="1"/>
      <c r="AV26" s="92"/>
      <c r="AW26" s="92"/>
      <c r="AX26" s="92"/>
      <c r="AY26" s="93"/>
      <c r="AZ26" s="93"/>
      <c r="BA26" s="93"/>
      <c r="BB26" s="93"/>
      <c r="BC26" s="93"/>
      <c r="BD26" s="93"/>
      <c r="BE26" s="93"/>
      <c r="BF26" s="93"/>
      <c r="BG26" s="71"/>
    </row>
    <row r="27" spans="1:59" ht="15.75" customHeight="1">
      <c r="A27" s="46" t="s">
        <v>92</v>
      </c>
      <c r="B27" s="92">
        <v>1</v>
      </c>
      <c r="C27" s="89" t="s">
        <v>12</v>
      </c>
      <c r="D27" s="92">
        <v>0</v>
      </c>
      <c r="E27" s="47" t="s">
        <v>93</v>
      </c>
      <c r="F27" s="17" t="s">
        <v>16</v>
      </c>
      <c r="G27" s="16">
        <f>IF(B27="", 0, IF(B27&gt;D27, 3, IF(B27=D27, 1, 0)))</f>
        <v>3</v>
      </c>
      <c r="H27" s="1">
        <f>IF(D27="", 0, IF(D27&gt;B27, 3, IF(D27=B27, 1, 0)))</f>
        <v>0</v>
      </c>
      <c r="I27" s="1"/>
      <c r="J27" s="46" t="s">
        <v>92</v>
      </c>
      <c r="K27" s="92">
        <v>3</v>
      </c>
      <c r="L27" s="89" t="s">
        <v>12</v>
      </c>
      <c r="M27" s="92">
        <v>1</v>
      </c>
      <c r="N27" s="47" t="s">
        <v>94</v>
      </c>
      <c r="O27" s="17" t="s">
        <v>16</v>
      </c>
      <c r="P27" s="72">
        <f>IF(K27="", 0, IF(K27&gt;M27, 3, IF(K27=M27, 1, 0)))</f>
        <v>3</v>
      </c>
      <c r="Q27" s="1">
        <f>IF(M27="", 0, IF(M27&gt;K27, 3, IF(M27=K27, 1, 0)))</f>
        <v>0</v>
      </c>
      <c r="R27" s="1"/>
      <c r="S27" s="54" t="s">
        <v>95</v>
      </c>
      <c r="T27" s="92">
        <v>0</v>
      </c>
      <c r="U27" s="91" t="s">
        <v>12</v>
      </c>
      <c r="V27" s="92">
        <v>2</v>
      </c>
      <c r="W27" s="55" t="s">
        <v>96</v>
      </c>
      <c r="X27" s="17" t="s">
        <v>14</v>
      </c>
      <c r="Y27" s="1">
        <f>IF(T27="", 0, IF(T27&gt;V27, 3, IF(T27=V27, 1, 0)))</f>
        <v>0</v>
      </c>
      <c r="Z27" s="1">
        <f>IF(V27="", 0, IF(V27&gt;T27, 3, IF(V27=T27, 1, 0)))</f>
        <v>3</v>
      </c>
      <c r="AA27" s="1"/>
      <c r="AB27" s="54">
        <v>2</v>
      </c>
      <c r="AC27" s="55" t="str">
        <f t="shared" si="32"/>
        <v>Iraque</v>
      </c>
      <c r="AD27" s="91">
        <f t="shared" si="33"/>
        <v>6</v>
      </c>
      <c r="AE27" s="91">
        <f t="shared" si="34"/>
        <v>1</v>
      </c>
      <c r="AF27" s="91">
        <f t="shared" si="35"/>
        <v>4</v>
      </c>
      <c r="AG27" s="1"/>
      <c r="AH27" s="56">
        <v>2</v>
      </c>
      <c r="AI27" s="57" t="str">
        <f t="shared" si="36"/>
        <v>Argentina</v>
      </c>
      <c r="AJ27" s="100">
        <f t="shared" si="37"/>
        <v>3</v>
      </c>
      <c r="AK27" s="100">
        <f t="shared" si="38"/>
        <v>0</v>
      </c>
      <c r="AL27" s="100">
        <f t="shared" si="39"/>
        <v>3</v>
      </c>
      <c r="AM27" s="92"/>
      <c r="AN27" s="71"/>
      <c r="AO27" s="1"/>
      <c r="AP27" s="92"/>
      <c r="AQ27" s="92"/>
      <c r="AR27" s="92"/>
      <c r="AS27" s="92"/>
      <c r="AT27" s="71"/>
      <c r="AU27" s="1"/>
      <c r="AV27" s="92"/>
      <c r="AW27" s="92"/>
      <c r="AX27" s="92"/>
      <c r="AY27" s="93"/>
      <c r="AZ27" s="93"/>
      <c r="BA27" s="93"/>
      <c r="BB27" s="93"/>
      <c r="BC27" s="93"/>
      <c r="BD27" s="93"/>
      <c r="BE27" s="93"/>
      <c r="BF27" s="93"/>
      <c r="BG27" s="71"/>
    </row>
    <row r="28" spans="1:59" ht="15.75" customHeight="1">
      <c r="A28" s="115" t="s">
        <v>97</v>
      </c>
      <c r="B28" s="106"/>
      <c r="C28" s="106"/>
      <c r="D28" s="106"/>
      <c r="E28" s="106"/>
      <c r="F28" s="8">
        <v>46188</v>
      </c>
      <c r="G28" s="9"/>
      <c r="H28" s="1"/>
      <c r="I28" s="1"/>
      <c r="J28" s="115" t="s">
        <v>98</v>
      </c>
      <c r="K28" s="106"/>
      <c r="L28" s="106"/>
      <c r="M28" s="106"/>
      <c r="N28" s="106"/>
      <c r="O28" s="8">
        <v>46194</v>
      </c>
      <c r="P28" s="9"/>
      <c r="Q28" s="1"/>
      <c r="R28" s="1"/>
      <c r="S28" s="119" t="s">
        <v>99</v>
      </c>
      <c r="T28" s="106"/>
      <c r="U28" s="106"/>
      <c r="V28" s="106"/>
      <c r="W28" s="106"/>
      <c r="X28" s="8">
        <v>46199</v>
      </c>
      <c r="Y28" s="1"/>
      <c r="Z28" s="1"/>
      <c r="AA28" s="1"/>
      <c r="AB28" s="54">
        <v>3</v>
      </c>
      <c r="AC28" s="55" t="str">
        <f t="shared" si="32"/>
        <v>Senegal</v>
      </c>
      <c r="AD28" s="91">
        <f t="shared" si="33"/>
        <v>3</v>
      </c>
      <c r="AE28" s="91">
        <f t="shared" si="34"/>
        <v>-3</v>
      </c>
      <c r="AF28" s="91">
        <f t="shared" si="35"/>
        <v>2</v>
      </c>
      <c r="AG28" s="1"/>
      <c r="AH28" s="56">
        <v>3</v>
      </c>
      <c r="AI28" s="57" t="str">
        <f t="shared" si="36"/>
        <v>Áustria</v>
      </c>
      <c r="AJ28" s="100">
        <f t="shared" si="37"/>
        <v>3</v>
      </c>
      <c r="AK28" s="100">
        <f t="shared" si="38"/>
        <v>-1</v>
      </c>
      <c r="AL28" s="100">
        <f t="shared" si="39"/>
        <v>1</v>
      </c>
      <c r="AM28" s="92"/>
      <c r="AN28" s="71"/>
      <c r="AO28" s="1"/>
      <c r="AP28" s="92"/>
      <c r="AQ28" s="92"/>
      <c r="AR28" s="92"/>
      <c r="AS28" s="92"/>
      <c r="AT28" s="71"/>
      <c r="AU28" s="1"/>
      <c r="AV28" s="92"/>
      <c r="AW28" s="92"/>
      <c r="AX28" s="92"/>
      <c r="AY28" s="93"/>
      <c r="AZ28" s="93"/>
      <c r="BA28" s="93"/>
      <c r="BB28" s="93"/>
      <c r="BC28" s="93"/>
      <c r="BD28" s="93"/>
      <c r="BE28" s="93"/>
      <c r="BF28" s="93"/>
      <c r="BG28" s="71"/>
    </row>
    <row r="29" spans="1:59" ht="15.75" customHeight="1">
      <c r="A29" s="44" t="s">
        <v>100</v>
      </c>
      <c r="B29" s="92">
        <v>1</v>
      </c>
      <c r="C29" s="90" t="s">
        <v>12</v>
      </c>
      <c r="D29" s="92">
        <v>1</v>
      </c>
      <c r="E29" s="45" t="s">
        <v>101</v>
      </c>
      <c r="F29" s="17" t="s">
        <v>14</v>
      </c>
      <c r="G29" s="16">
        <f>IF(B29="", 0, IF(B29&gt;D29, 3, IF(B29=D29, 1, 0)))</f>
        <v>1</v>
      </c>
      <c r="H29" s="1">
        <f>IF(D29="", 0, IF(D29&gt;B29, 3, IF(D29=B29, 1, 0)))</f>
        <v>1</v>
      </c>
      <c r="I29" s="1"/>
      <c r="J29" s="44" t="s">
        <v>100</v>
      </c>
      <c r="K29" s="92">
        <v>1</v>
      </c>
      <c r="L29" s="90" t="s">
        <v>12</v>
      </c>
      <c r="M29" s="92">
        <v>0</v>
      </c>
      <c r="N29" s="45" t="s">
        <v>102</v>
      </c>
      <c r="O29" s="17" t="s">
        <v>14</v>
      </c>
      <c r="P29" s="72">
        <f>IF(K29="", 0, IF(K29&gt;M29, 3, IF(K29=M29, 1, 0)))</f>
        <v>3</v>
      </c>
      <c r="Q29" s="1">
        <f>IF(M29="", 0, IF(M29&gt;K29, 3, IF(M29=K29, 1, 0)))</f>
        <v>0</v>
      </c>
      <c r="R29" s="1"/>
      <c r="S29" s="54" t="s">
        <v>103</v>
      </c>
      <c r="T29" s="92">
        <v>0</v>
      </c>
      <c r="U29" s="91" t="s">
        <v>12</v>
      </c>
      <c r="V29" s="92">
        <v>2</v>
      </c>
      <c r="W29" s="55" t="s">
        <v>104</v>
      </c>
      <c r="X29" s="17" t="s">
        <v>14</v>
      </c>
      <c r="Y29" s="1">
        <f>IF(T29="", 0, IF(T29&gt;V29, 3, IF(T29=V29, 1, 0)))</f>
        <v>0</v>
      </c>
      <c r="Z29" s="1">
        <f>IF(V29="", 0, IF(V29&gt;T29, 3, IF(V29=T29, 1, 0)))</f>
        <v>3</v>
      </c>
      <c r="AA29" s="1"/>
      <c r="AB29" s="54">
        <v>4</v>
      </c>
      <c r="AC29" s="55" t="str">
        <f t="shared" si="32"/>
        <v>Noruega</v>
      </c>
      <c r="AD29" s="91">
        <f t="shared" si="33"/>
        <v>0</v>
      </c>
      <c r="AE29" s="91">
        <f t="shared" si="34"/>
        <v>-5</v>
      </c>
      <c r="AF29" s="91">
        <f t="shared" si="35"/>
        <v>1</v>
      </c>
      <c r="AG29" s="1"/>
      <c r="AH29" s="56">
        <v>4</v>
      </c>
      <c r="AI29" s="57" t="str">
        <f t="shared" si="36"/>
        <v>Jordânia</v>
      </c>
      <c r="AJ29" s="100">
        <f t="shared" si="37"/>
        <v>3</v>
      </c>
      <c r="AK29" s="100">
        <f t="shared" si="38"/>
        <v>-2</v>
      </c>
      <c r="AL29" s="100">
        <f t="shared" si="39"/>
        <v>3</v>
      </c>
      <c r="AM29" s="92"/>
      <c r="AN29" s="71"/>
      <c r="AO29" s="1"/>
      <c r="AP29" s="92"/>
      <c r="AQ29" s="92"/>
      <c r="AR29" s="92"/>
      <c r="AS29" s="92"/>
      <c r="AT29" s="71"/>
      <c r="AU29" s="1"/>
      <c r="AV29" s="92"/>
      <c r="AW29" s="92"/>
      <c r="AX29" s="92"/>
      <c r="AY29" s="93"/>
      <c r="AZ29" s="93"/>
      <c r="BA29" s="93"/>
      <c r="BB29" s="93"/>
      <c r="BC29" s="93"/>
      <c r="BD29" s="93"/>
      <c r="BE29" s="93"/>
      <c r="BF29" s="93"/>
      <c r="BG29" s="71"/>
    </row>
    <row r="30" spans="1:59" ht="15.75" customHeight="1">
      <c r="A30" s="116" t="s">
        <v>105</v>
      </c>
      <c r="B30" s="106"/>
      <c r="C30" s="106"/>
      <c r="D30" s="106"/>
      <c r="E30" s="106"/>
      <c r="F30" s="8">
        <v>46188</v>
      </c>
      <c r="G30" s="9"/>
      <c r="H30" s="1"/>
      <c r="I30" s="1"/>
      <c r="J30" s="116" t="s">
        <v>106</v>
      </c>
      <c r="K30" s="106"/>
      <c r="L30" s="106"/>
      <c r="M30" s="106"/>
      <c r="N30" s="106"/>
      <c r="O30" s="8">
        <v>46194</v>
      </c>
      <c r="P30" s="9"/>
      <c r="Q30" s="1"/>
      <c r="R30" s="1"/>
      <c r="S30" s="116" t="s">
        <v>107</v>
      </c>
      <c r="T30" s="106"/>
      <c r="U30" s="106"/>
      <c r="V30" s="106"/>
      <c r="W30" s="106"/>
      <c r="X30" s="8">
        <v>46199</v>
      </c>
      <c r="Y30" s="1"/>
      <c r="Z30" s="1"/>
      <c r="AA30" s="1"/>
      <c r="AB30" s="71"/>
      <c r="AC30" s="1"/>
      <c r="AD30" s="92"/>
      <c r="AE30" s="92"/>
      <c r="AF30" s="92"/>
      <c r="AG30" s="1"/>
      <c r="AH30" s="71"/>
      <c r="AI30" s="1"/>
      <c r="AJ30" s="92"/>
      <c r="AK30" s="92"/>
      <c r="AL30" s="92"/>
      <c r="AM30" s="92"/>
      <c r="AN30" s="71"/>
      <c r="AO30" s="1"/>
      <c r="AP30" s="92"/>
      <c r="AQ30" s="92"/>
      <c r="AR30" s="92"/>
      <c r="AS30" s="92"/>
      <c r="AT30" s="71"/>
      <c r="AU30" s="1"/>
      <c r="AV30" s="92"/>
      <c r="AW30" s="92"/>
      <c r="AX30" s="92"/>
      <c r="AY30" s="93"/>
      <c r="AZ30" s="93"/>
      <c r="BA30" s="93"/>
      <c r="BB30" s="93"/>
      <c r="BC30" s="93"/>
      <c r="BD30" s="93"/>
      <c r="BE30" s="93"/>
      <c r="BF30" s="93"/>
      <c r="BG30" s="71"/>
    </row>
    <row r="31" spans="1:59" ht="15.75" customHeight="1">
      <c r="A31" s="46" t="s">
        <v>94</v>
      </c>
      <c r="B31" s="92">
        <v>2</v>
      </c>
      <c r="C31" s="89" t="s">
        <v>12</v>
      </c>
      <c r="D31" s="92">
        <v>1</v>
      </c>
      <c r="E31" s="47" t="s">
        <v>108</v>
      </c>
      <c r="F31" s="17" t="s">
        <v>29</v>
      </c>
      <c r="G31" s="16">
        <f>IF(B31="", 0, IF(B31&gt;D31, 3, IF(B31=D31, 1, 0)))</f>
        <v>3</v>
      </c>
      <c r="H31" s="1">
        <f>IF(D31="", 0, IF(D31&gt;B31, 3, IF(D31=B31, 1, 0)))</f>
        <v>0</v>
      </c>
      <c r="I31" s="1"/>
      <c r="J31" s="46" t="s">
        <v>108</v>
      </c>
      <c r="K31" s="92">
        <v>2</v>
      </c>
      <c r="L31" s="89" t="s">
        <v>12</v>
      </c>
      <c r="M31" s="92">
        <v>1</v>
      </c>
      <c r="N31" s="47" t="s">
        <v>93</v>
      </c>
      <c r="O31" s="17" t="s">
        <v>29</v>
      </c>
      <c r="P31" s="72">
        <f>IF(K31="", 0, IF(K31&gt;M31, 3, IF(K31=M31, 1, 0)))</f>
        <v>3</v>
      </c>
      <c r="Q31" s="1">
        <f>IF(M31="", 0, IF(M31&gt;K31, 3, IF(M31=K31, 1, 0)))</f>
        <v>0</v>
      </c>
      <c r="R31" s="1"/>
      <c r="S31" s="46" t="s">
        <v>93</v>
      </c>
      <c r="T31" s="92">
        <v>1</v>
      </c>
      <c r="U31" s="89" t="s">
        <v>12</v>
      </c>
      <c r="V31" s="92">
        <v>0</v>
      </c>
      <c r="W31" s="47" t="s">
        <v>94</v>
      </c>
      <c r="X31" s="17" t="s">
        <v>83</v>
      </c>
      <c r="Y31" s="1">
        <f>IF(T31="", 0, IF(T31&gt;V31, 3, IF(T31=V31, 1, 0)))</f>
        <v>3</v>
      </c>
      <c r="Z31" s="1">
        <f>IF(V31="", 0, IF(V31&gt;T31, 3, IF(V31=T31, 1, 0)))</f>
        <v>0</v>
      </c>
      <c r="AA31" s="1"/>
      <c r="AB31" s="58"/>
      <c r="AC31" s="59" t="s">
        <v>109</v>
      </c>
      <c r="AD31" s="60" t="s">
        <v>4</v>
      </c>
      <c r="AE31" s="60" t="s">
        <v>5</v>
      </c>
      <c r="AF31" s="60" t="s">
        <v>6</v>
      </c>
      <c r="AG31" s="92"/>
      <c r="AH31" s="61"/>
      <c r="AI31" s="62" t="s">
        <v>110</v>
      </c>
      <c r="AJ31" s="63" t="s">
        <v>4</v>
      </c>
      <c r="AK31" s="63" t="s">
        <v>5</v>
      </c>
      <c r="AL31" s="63" t="s">
        <v>6</v>
      </c>
      <c r="AM31" s="92"/>
      <c r="AN31" s="71"/>
      <c r="AO31" s="1"/>
      <c r="AP31" s="92"/>
      <c r="AQ31" s="92"/>
      <c r="AR31" s="92"/>
      <c r="AS31" s="92"/>
      <c r="AT31" s="71"/>
      <c r="AU31" s="1"/>
      <c r="AV31" s="92"/>
      <c r="AW31" s="92"/>
      <c r="AX31" s="92"/>
      <c r="AY31" s="93"/>
      <c r="AZ31" s="93"/>
      <c r="BA31" s="93"/>
      <c r="BB31" s="93"/>
      <c r="BC31" s="93"/>
      <c r="BD31" s="93"/>
      <c r="BE31" s="93"/>
      <c r="BF31" s="93"/>
      <c r="BG31" s="71"/>
    </row>
    <row r="32" spans="1:59" ht="15.75" customHeight="1">
      <c r="A32" s="115" t="s">
        <v>111</v>
      </c>
      <c r="B32" s="106"/>
      <c r="C32" s="106"/>
      <c r="D32" s="106"/>
      <c r="E32" s="106"/>
      <c r="F32" s="8">
        <v>46188</v>
      </c>
      <c r="G32" s="9"/>
      <c r="H32" s="1"/>
      <c r="I32" s="1"/>
      <c r="J32" s="115" t="s">
        <v>112</v>
      </c>
      <c r="K32" s="106"/>
      <c r="L32" s="106"/>
      <c r="M32" s="106"/>
      <c r="N32" s="106"/>
      <c r="O32" s="8">
        <v>46194</v>
      </c>
      <c r="P32" s="9"/>
      <c r="Q32" s="1"/>
      <c r="R32" s="1"/>
      <c r="S32" s="116" t="s">
        <v>113</v>
      </c>
      <c r="T32" s="106"/>
      <c r="U32" s="106"/>
      <c r="V32" s="106"/>
      <c r="W32" s="106"/>
      <c r="X32" s="8">
        <v>46199</v>
      </c>
      <c r="Y32" s="1"/>
      <c r="Z32" s="1"/>
      <c r="AA32" s="1"/>
      <c r="AB32" s="64">
        <v>1</v>
      </c>
      <c r="AC32" s="65" t="str">
        <f t="shared" ref="AC32:AC35" si="40">INDEX($AO$92:$AO$95, MATCH(LARGE($AS$92:$AS$95, AB32), $AS$92:$AS$95, 0))</f>
        <v>Portugal</v>
      </c>
      <c r="AD32" s="99">
        <f t="shared" ref="AD32:AD35" si="41">VLOOKUP(AC32, $AO$92:$AR$95, 2, 0)</f>
        <v>6</v>
      </c>
      <c r="AE32" s="99">
        <f t="shared" ref="AE32:AE35" si="42">VLOOKUP(AC32, $AO$92:$AR$95, 3, 0)</f>
        <v>5</v>
      </c>
      <c r="AF32" s="99">
        <f t="shared" ref="AF32:AF35" si="43">VLOOKUP(AC32, $AO$92:$AR$95, 4, 0)</f>
        <v>9</v>
      </c>
      <c r="AG32" s="92"/>
      <c r="AH32" s="66">
        <v>1</v>
      </c>
      <c r="AI32" s="67" t="str">
        <f t="shared" ref="AI32:AI35" si="44">INDEX($AU$92:$AU$95, MATCH(LARGE($AY$92:$AY$95, AH32), $AY$92:$AY$95, 0))</f>
        <v>Croácia</v>
      </c>
      <c r="AJ32" s="98">
        <f t="shared" ref="AJ32:AJ35" si="45">VLOOKUP(AI32, $AU$92:$AX$95, 2, 0)</f>
        <v>9</v>
      </c>
      <c r="AK32" s="98">
        <f t="shared" ref="AK32:AK35" si="46">VLOOKUP(AI32, $AU$92:$AX$95, 3, 0)</f>
        <v>3</v>
      </c>
      <c r="AL32" s="98">
        <f t="shared" ref="AL32:AL35" si="47">VLOOKUP(AI32, $AU$92:$AX$95, 4, 0)</f>
        <v>4</v>
      </c>
      <c r="AM32" s="92"/>
      <c r="AN32" s="71"/>
      <c r="AO32" s="1"/>
      <c r="AP32" s="92"/>
      <c r="AQ32" s="92"/>
      <c r="AR32" s="92"/>
      <c r="AS32" s="92"/>
      <c r="AT32" s="71"/>
      <c r="AU32" s="1"/>
      <c r="AV32" s="92"/>
      <c r="AW32" s="92"/>
      <c r="AX32" s="92"/>
      <c r="AY32" s="93"/>
      <c r="AZ32" s="93"/>
      <c r="BA32" s="93"/>
      <c r="BB32" s="93"/>
      <c r="BC32" s="93"/>
      <c r="BD32" s="93"/>
      <c r="BE32" s="93"/>
      <c r="BF32" s="93"/>
      <c r="BG32" s="71"/>
    </row>
    <row r="33" spans="1:59" ht="15.75" customHeight="1">
      <c r="A33" s="44" t="s">
        <v>102</v>
      </c>
      <c r="B33" s="92">
        <v>0</v>
      </c>
      <c r="C33" s="90" t="s">
        <v>12</v>
      </c>
      <c r="D33" s="92">
        <v>1</v>
      </c>
      <c r="E33" s="45" t="s">
        <v>114</v>
      </c>
      <c r="F33" s="17" t="s">
        <v>39</v>
      </c>
      <c r="G33" s="16">
        <f>IF(B33="", 0, IF(B33&gt;D33, 3, IF(B33=D33, 1, 0)))</f>
        <v>0</v>
      </c>
      <c r="H33" s="1">
        <f>IF(D33="", 0, IF(D33&gt;B33, 3, IF(D33=B33, 1, 0)))</f>
        <v>3</v>
      </c>
      <c r="I33" s="1"/>
      <c r="J33" s="44" t="s">
        <v>114</v>
      </c>
      <c r="K33" s="92">
        <v>2</v>
      </c>
      <c r="L33" s="90" t="s">
        <v>12</v>
      </c>
      <c r="M33" s="92">
        <v>2</v>
      </c>
      <c r="N33" s="45" t="s">
        <v>101</v>
      </c>
      <c r="O33" s="17" t="s">
        <v>39</v>
      </c>
      <c r="P33" s="72">
        <f>IF(K33="", 0, IF(K33&gt;M33, 3, IF(K33=M33, 1, 0)))</f>
        <v>1</v>
      </c>
      <c r="Q33" s="1">
        <f>IF(M33="", 0, IF(M33&gt;K33, 3, IF(M33=K33, 1, 0)))</f>
        <v>1</v>
      </c>
      <c r="R33" s="1"/>
      <c r="S33" s="46" t="s">
        <v>108</v>
      </c>
      <c r="T33" s="92">
        <v>0</v>
      </c>
      <c r="U33" s="89" t="s">
        <v>12</v>
      </c>
      <c r="V33" s="92">
        <v>3</v>
      </c>
      <c r="W33" s="47" t="s">
        <v>92</v>
      </c>
      <c r="X33" s="17" t="s">
        <v>83</v>
      </c>
      <c r="Y33" s="1">
        <f>IF(T33="", 0, IF(T33&gt;V33, 3, IF(T33=V33, 1, 0)))</f>
        <v>0</v>
      </c>
      <c r="Z33" s="1">
        <f>IF(V33="", 0, IF(V33&gt;T33, 3, IF(V33=T33, 1, 0)))</f>
        <v>3</v>
      </c>
      <c r="AA33" s="1"/>
      <c r="AB33" s="64">
        <v>2</v>
      </c>
      <c r="AC33" s="65" t="str">
        <f t="shared" si="40"/>
        <v>Colômbia</v>
      </c>
      <c r="AD33" s="99">
        <f t="shared" si="41"/>
        <v>6</v>
      </c>
      <c r="AE33" s="99">
        <f t="shared" si="42"/>
        <v>3</v>
      </c>
      <c r="AF33" s="99">
        <f t="shared" si="43"/>
        <v>7</v>
      </c>
      <c r="AG33" s="92"/>
      <c r="AH33" s="66">
        <v>2</v>
      </c>
      <c r="AI33" s="67" t="str">
        <f t="shared" si="44"/>
        <v>Inglaterra</v>
      </c>
      <c r="AJ33" s="98">
        <f t="shared" si="45"/>
        <v>6</v>
      </c>
      <c r="AK33" s="98">
        <f t="shared" si="46"/>
        <v>2</v>
      </c>
      <c r="AL33" s="98">
        <f t="shared" si="47"/>
        <v>3</v>
      </c>
      <c r="AM33" s="92"/>
      <c r="AN33" s="71"/>
      <c r="AO33" s="1"/>
      <c r="AP33" s="92"/>
      <c r="AQ33" s="92"/>
      <c r="AR33" s="92"/>
      <c r="AS33" s="92"/>
      <c r="AT33" s="71"/>
      <c r="AU33" s="1"/>
      <c r="AV33" s="92"/>
      <c r="AW33" s="92"/>
      <c r="AX33" s="92"/>
      <c r="AY33" s="93"/>
      <c r="AZ33" s="93"/>
      <c r="BA33" s="93"/>
      <c r="BB33" s="93"/>
      <c r="BC33" s="93"/>
      <c r="BD33" s="93"/>
      <c r="BE33" s="93"/>
      <c r="BF33" s="93"/>
      <c r="BG33" s="71"/>
    </row>
    <row r="34" spans="1:59" ht="15.75" customHeight="1">
      <c r="A34" s="119" t="s">
        <v>115</v>
      </c>
      <c r="B34" s="106"/>
      <c r="C34" s="106"/>
      <c r="D34" s="106"/>
      <c r="E34" s="106"/>
      <c r="F34" s="8">
        <v>46189</v>
      </c>
      <c r="G34" s="9"/>
      <c r="H34" s="1"/>
      <c r="I34" s="1"/>
      <c r="J34" s="113" t="s">
        <v>116</v>
      </c>
      <c r="K34" s="106"/>
      <c r="L34" s="106"/>
      <c r="M34" s="106"/>
      <c r="N34" s="106"/>
      <c r="O34" s="8">
        <v>46195</v>
      </c>
      <c r="P34" s="9"/>
      <c r="Q34" s="1"/>
      <c r="R34" s="1"/>
      <c r="S34" s="115" t="s">
        <v>117</v>
      </c>
      <c r="T34" s="106"/>
      <c r="U34" s="106"/>
      <c r="V34" s="106"/>
      <c r="W34" s="106"/>
      <c r="X34" s="8">
        <v>46200</v>
      </c>
      <c r="Y34" s="1"/>
      <c r="Z34" s="1"/>
      <c r="AA34" s="1"/>
      <c r="AB34" s="64">
        <v>3</v>
      </c>
      <c r="AC34" s="65" t="str">
        <f t="shared" si="40"/>
        <v>Uzbequistão</v>
      </c>
      <c r="AD34" s="99">
        <f t="shared" si="41"/>
        <v>6</v>
      </c>
      <c r="AE34" s="99">
        <f t="shared" si="42"/>
        <v>0</v>
      </c>
      <c r="AF34" s="99">
        <f t="shared" si="43"/>
        <v>3</v>
      </c>
      <c r="AG34" s="92"/>
      <c r="AH34" s="66">
        <v>3</v>
      </c>
      <c r="AI34" s="67" t="str">
        <f t="shared" si="44"/>
        <v>Gana</v>
      </c>
      <c r="AJ34" s="98">
        <f t="shared" si="45"/>
        <v>1</v>
      </c>
      <c r="AK34" s="98">
        <f t="shared" si="46"/>
        <v>-2</v>
      </c>
      <c r="AL34" s="98">
        <f t="shared" si="47"/>
        <v>2</v>
      </c>
      <c r="AM34" s="92"/>
      <c r="AN34" s="71"/>
      <c r="AO34" s="1"/>
      <c r="AP34" s="92"/>
      <c r="AQ34" s="92"/>
      <c r="AR34" s="92"/>
      <c r="AS34" s="92"/>
      <c r="AT34" s="71"/>
      <c r="AU34" s="1"/>
      <c r="AV34" s="92"/>
      <c r="AW34" s="92"/>
      <c r="AX34" s="92"/>
      <c r="AY34" s="93"/>
      <c r="AZ34" s="93"/>
      <c r="BA34" s="93"/>
      <c r="BB34" s="93"/>
      <c r="BC34" s="93"/>
      <c r="BD34" s="93"/>
      <c r="BE34" s="93"/>
      <c r="BF34" s="93"/>
      <c r="BG34" s="71"/>
    </row>
    <row r="35" spans="1:59" ht="15.75" customHeight="1">
      <c r="A35" s="54" t="s">
        <v>96</v>
      </c>
      <c r="B35" s="92">
        <v>3</v>
      </c>
      <c r="C35" s="91" t="s">
        <v>12</v>
      </c>
      <c r="D35" s="92">
        <v>0</v>
      </c>
      <c r="E35" s="55" t="s">
        <v>103</v>
      </c>
      <c r="F35" s="17" t="s">
        <v>14</v>
      </c>
      <c r="G35" s="16">
        <f>IF(B35="", 0, IF(B35&gt;D35, 3, IF(B35=D35, 1, 0)))</f>
        <v>3</v>
      </c>
      <c r="H35" s="1">
        <f>IF(D35="", 0, IF(D35&gt;B35, 3, IF(D35=B35, 1, 0)))</f>
        <v>0</v>
      </c>
      <c r="I35" s="1"/>
      <c r="J35" s="56" t="s">
        <v>118</v>
      </c>
      <c r="K35" s="92">
        <v>0</v>
      </c>
      <c r="L35" s="100" t="s">
        <v>12</v>
      </c>
      <c r="M35" s="92">
        <v>1</v>
      </c>
      <c r="N35" s="57" t="s">
        <v>119</v>
      </c>
      <c r="O35" s="17" t="s">
        <v>69</v>
      </c>
      <c r="P35" s="72">
        <f>IF(K35="", 0, IF(K35&gt;M35, 3, IF(K35=M35, 1, 0)))</f>
        <v>0</v>
      </c>
      <c r="Q35" s="1">
        <f>IF(M35="", 0, IF(M35&gt;K35, 3, IF(M35=K35, 1, 0)))</f>
        <v>3</v>
      </c>
      <c r="R35" s="1"/>
      <c r="S35" s="44" t="s">
        <v>114</v>
      </c>
      <c r="T35" s="92">
        <v>0</v>
      </c>
      <c r="U35" s="90" t="s">
        <v>12</v>
      </c>
      <c r="V35" s="92">
        <v>2</v>
      </c>
      <c r="W35" s="45" t="s">
        <v>100</v>
      </c>
      <c r="X35" s="17" t="s">
        <v>63</v>
      </c>
      <c r="Y35" s="1">
        <f>IF(T35="", 0, IF(T35&gt;V35, 3, IF(T35=V35, 1, 0)))</f>
        <v>0</v>
      </c>
      <c r="Z35" s="1">
        <f>IF(V35="", 0, IF(V35&gt;T35, 3, IF(V35=T35, 1, 0)))</f>
        <v>3</v>
      </c>
      <c r="AA35" s="1"/>
      <c r="AB35" s="64">
        <v>4</v>
      </c>
      <c r="AC35" s="65" t="str">
        <f t="shared" si="40"/>
        <v>RD Congo</v>
      </c>
      <c r="AD35" s="99">
        <f t="shared" si="41"/>
        <v>0</v>
      </c>
      <c r="AE35" s="99">
        <f t="shared" si="42"/>
        <v>-8</v>
      </c>
      <c r="AF35" s="99">
        <f t="shared" si="43"/>
        <v>1</v>
      </c>
      <c r="AG35" s="92"/>
      <c r="AH35" s="66">
        <v>4</v>
      </c>
      <c r="AI35" s="67" t="str">
        <f t="shared" si="44"/>
        <v>Panamá</v>
      </c>
      <c r="AJ35" s="98">
        <f t="shared" si="45"/>
        <v>1</v>
      </c>
      <c r="AK35" s="98">
        <f t="shared" si="46"/>
        <v>-3</v>
      </c>
      <c r="AL35" s="98">
        <f t="shared" si="47"/>
        <v>3</v>
      </c>
      <c r="AM35" s="92"/>
      <c r="AN35" s="71"/>
      <c r="AO35" s="1"/>
      <c r="AP35" s="92"/>
      <c r="AQ35" s="92"/>
      <c r="AR35" s="92"/>
      <c r="AS35" s="92"/>
      <c r="AT35" s="71"/>
      <c r="AU35" s="1"/>
      <c r="AV35" s="92"/>
      <c r="AW35" s="92"/>
      <c r="AX35" s="92"/>
      <c r="AY35" s="93"/>
      <c r="AZ35" s="93"/>
      <c r="BA35" s="93"/>
      <c r="BB35" s="93"/>
      <c r="BC35" s="93"/>
      <c r="BD35" s="93"/>
      <c r="BE35" s="93"/>
      <c r="BF35" s="93"/>
      <c r="BG35" s="71"/>
    </row>
    <row r="36" spans="1:59" ht="15.75" customHeight="1">
      <c r="A36" s="119" t="s">
        <v>120</v>
      </c>
      <c r="B36" s="106"/>
      <c r="C36" s="106"/>
      <c r="D36" s="106"/>
      <c r="E36" s="106"/>
      <c r="F36" s="8">
        <v>46189</v>
      </c>
      <c r="G36" s="9"/>
      <c r="H36" s="1"/>
      <c r="I36" s="1"/>
      <c r="J36" s="119" t="s">
        <v>121</v>
      </c>
      <c r="K36" s="106"/>
      <c r="L36" s="106"/>
      <c r="M36" s="106"/>
      <c r="N36" s="106"/>
      <c r="O36" s="8">
        <v>46195</v>
      </c>
      <c r="P36" s="9"/>
      <c r="Q36" s="1"/>
      <c r="R36" s="1"/>
      <c r="S36" s="115" t="s">
        <v>122</v>
      </c>
      <c r="T36" s="106"/>
      <c r="U36" s="106"/>
      <c r="V36" s="106"/>
      <c r="W36" s="106"/>
      <c r="X36" s="8">
        <v>46200</v>
      </c>
      <c r="Y36" s="1"/>
      <c r="Z36" s="1"/>
      <c r="AA36" s="1"/>
      <c r="AB36" s="71"/>
      <c r="AC36" s="1"/>
      <c r="AD36" s="92"/>
      <c r="AE36" s="92"/>
      <c r="AF36" s="92"/>
      <c r="AG36" s="1"/>
      <c r="AH36" s="71"/>
      <c r="AI36" s="1"/>
      <c r="AJ36" s="92"/>
      <c r="AK36" s="92"/>
      <c r="AL36" s="92"/>
      <c r="AM36" s="92"/>
      <c r="AN36" s="71"/>
      <c r="AO36" s="1"/>
      <c r="AP36" s="92"/>
      <c r="AQ36" s="92"/>
      <c r="AR36" s="92"/>
      <c r="AS36" s="92"/>
      <c r="AT36" s="71"/>
      <c r="AU36" s="1"/>
      <c r="AV36" s="92"/>
      <c r="AW36" s="92"/>
      <c r="AX36" s="92"/>
      <c r="AY36" s="93"/>
      <c r="AZ36" s="93"/>
      <c r="BA36" s="93"/>
      <c r="BB36" s="93"/>
      <c r="BC36" s="93"/>
      <c r="BD36" s="93"/>
      <c r="BE36" s="93"/>
      <c r="BF36" s="93"/>
      <c r="BG36" s="71"/>
    </row>
    <row r="37" spans="1:59" ht="15.75" customHeight="1">
      <c r="A37" s="54" t="s">
        <v>104</v>
      </c>
      <c r="B37" s="92">
        <v>2</v>
      </c>
      <c r="C37" s="91" t="s">
        <v>12</v>
      </c>
      <c r="D37" s="92">
        <v>1</v>
      </c>
      <c r="E37" s="55" t="s">
        <v>95</v>
      </c>
      <c r="F37" s="17" t="s">
        <v>29</v>
      </c>
      <c r="G37" s="16">
        <f>IF(B37="", 0, IF(B37&gt;D37, 3, IF(B37=D37, 1, 0)))</f>
        <v>3</v>
      </c>
      <c r="H37" s="1">
        <f>IF(D37="", 0, IF(D37&gt;B37, 3, IF(D37=B37, 1, 0)))</f>
        <v>0</v>
      </c>
      <c r="I37" s="1"/>
      <c r="J37" s="54" t="s">
        <v>96</v>
      </c>
      <c r="K37" s="92">
        <v>2</v>
      </c>
      <c r="L37" s="91" t="s">
        <v>12</v>
      </c>
      <c r="M37" s="92">
        <v>0</v>
      </c>
      <c r="N37" s="55" t="s">
        <v>104</v>
      </c>
      <c r="O37" s="17" t="s">
        <v>123</v>
      </c>
      <c r="P37" s="72">
        <f>IF(K37="", 0, IF(K37&gt;M37, 3, IF(K37=M37, 1, 0)))</f>
        <v>3</v>
      </c>
      <c r="Q37" s="1">
        <f>IF(M37="", 0, IF(M37&gt;K37, 3, IF(M37=K37, 1, 0)))</f>
        <v>0</v>
      </c>
      <c r="R37" s="1"/>
      <c r="S37" s="44" t="s">
        <v>101</v>
      </c>
      <c r="T37" s="92">
        <v>1</v>
      </c>
      <c r="U37" s="90" t="s">
        <v>12</v>
      </c>
      <c r="V37" s="92">
        <v>1</v>
      </c>
      <c r="W37" s="45" t="s">
        <v>102</v>
      </c>
      <c r="X37" s="17" t="s">
        <v>63</v>
      </c>
      <c r="Y37" s="1">
        <f>IF(T37="", 0, IF(T37&gt;V37, 3, IF(T37=V37, 1, 0)))</f>
        <v>1</v>
      </c>
      <c r="Z37" s="1">
        <f>IF(V37="", 0, IF(V37&gt;T37, 3, IF(V37=T37, 1, 0)))</f>
        <v>1</v>
      </c>
      <c r="AA37" s="1"/>
      <c r="AB37" s="68"/>
      <c r="AC37" s="96" t="s">
        <v>124</v>
      </c>
      <c r="AD37" s="96" t="s">
        <v>4</v>
      </c>
      <c r="AE37" s="96" t="s">
        <v>5</v>
      </c>
      <c r="AF37" s="96" t="s">
        <v>6</v>
      </c>
      <c r="AG37" s="1"/>
      <c r="AH37" s="71"/>
      <c r="AI37" s="1"/>
      <c r="AJ37" s="92"/>
      <c r="AK37" s="92"/>
      <c r="AL37" s="92"/>
      <c r="AM37" s="92"/>
      <c r="AN37" s="71"/>
      <c r="AO37" s="1"/>
      <c r="AP37" s="92"/>
      <c r="AQ37" s="92"/>
      <c r="AR37" s="92"/>
      <c r="AS37" s="92"/>
      <c r="AT37" s="71"/>
      <c r="AU37" s="1"/>
      <c r="AV37" s="92"/>
      <c r="AW37" s="92"/>
      <c r="AX37" s="92"/>
      <c r="AY37" s="93"/>
      <c r="AZ37" s="93"/>
      <c r="BA37" s="93"/>
      <c r="BB37" s="93"/>
      <c r="BC37" s="93"/>
      <c r="BD37" s="93"/>
      <c r="BE37" s="93"/>
      <c r="BF37" s="93"/>
      <c r="BG37" s="71"/>
    </row>
    <row r="38" spans="1:59" ht="15.75" customHeight="1">
      <c r="A38" s="113" t="s">
        <v>125</v>
      </c>
      <c r="B38" s="106"/>
      <c r="C38" s="106"/>
      <c r="D38" s="106"/>
      <c r="E38" s="106"/>
      <c r="F38" s="8">
        <v>46189</v>
      </c>
      <c r="G38" s="9"/>
      <c r="H38" s="1"/>
      <c r="I38" s="1"/>
      <c r="J38" s="119" t="s">
        <v>126</v>
      </c>
      <c r="K38" s="106"/>
      <c r="L38" s="106"/>
      <c r="M38" s="106"/>
      <c r="N38" s="106"/>
      <c r="O38" s="8">
        <v>46195</v>
      </c>
      <c r="P38" s="9"/>
      <c r="Q38" s="1"/>
      <c r="R38" s="1"/>
      <c r="S38" s="114" t="s">
        <v>127</v>
      </c>
      <c r="T38" s="106"/>
      <c r="U38" s="106"/>
      <c r="V38" s="106"/>
      <c r="W38" s="106"/>
      <c r="X38" s="8">
        <v>46200</v>
      </c>
      <c r="Y38" s="1"/>
      <c r="Z38" s="1"/>
      <c r="AA38" s="1"/>
      <c r="AB38" s="10">
        <v>1</v>
      </c>
      <c r="AC38" s="14" t="str">
        <f t="shared" ref="AC38:AC49" si="48">INDEX($BC$80:$BC$91, MATCH(LARGE($BG$80:$BG$91, AB38), $BG$80:$BG$91, 0))</f>
        <v>Uzbequistão</v>
      </c>
      <c r="AD38" s="101">
        <f t="shared" ref="AD38:AD49" si="49">VLOOKUP(AC38, $BC$80:$BH$91, 2, 0)</f>
        <v>6</v>
      </c>
      <c r="AE38" s="101">
        <f t="shared" ref="AE38:AE49" si="50">VLOOKUP(AC38, $BC$80:$BH$91, 3, 0)</f>
        <v>0</v>
      </c>
      <c r="AF38" s="101">
        <f t="shared" ref="AF38:AF49" si="51">VLOOKUP(AC38, $BC$80:$BH$91, 4, 0)</f>
        <v>3</v>
      </c>
      <c r="AG38" s="71" t="str">
        <f t="shared" ref="AG38:AG49" si="52">VLOOKUP(AC38, $BC$80:$BH$91, 6, 0)</f>
        <v>K</v>
      </c>
      <c r="AH38" s="71"/>
      <c r="AI38" s="1"/>
      <c r="AJ38" s="92"/>
      <c r="AK38" s="92"/>
      <c r="AL38" s="92"/>
      <c r="AM38" s="92"/>
      <c r="AN38" s="71"/>
      <c r="AO38" s="1"/>
      <c r="AP38" s="92"/>
      <c r="AQ38" s="92"/>
      <c r="AR38" s="92"/>
      <c r="AS38" s="92"/>
      <c r="AT38" s="71"/>
      <c r="AU38" s="1"/>
      <c r="AV38" s="92"/>
      <c r="AW38" s="92"/>
      <c r="AX38" s="92"/>
      <c r="AY38" s="93"/>
      <c r="AZ38" s="93"/>
      <c r="BA38" s="93"/>
      <c r="BB38" s="93"/>
      <c r="BC38" s="93"/>
      <c r="BD38" s="93"/>
      <c r="BE38" s="93"/>
      <c r="BF38" s="93"/>
      <c r="BG38" s="71"/>
    </row>
    <row r="39" spans="1:59" ht="15.75" customHeight="1">
      <c r="A39" s="56" t="s">
        <v>118</v>
      </c>
      <c r="B39" s="92">
        <v>0</v>
      </c>
      <c r="C39" s="100" t="s">
        <v>12</v>
      </c>
      <c r="D39" s="92">
        <v>1</v>
      </c>
      <c r="E39" s="57" t="s">
        <v>128</v>
      </c>
      <c r="F39" s="17" t="s">
        <v>39</v>
      </c>
      <c r="G39" s="16">
        <f>IF(B39="", 0, IF(B39&gt;D39, 3, IF(B39=D39, 1, 0)))</f>
        <v>0</v>
      </c>
      <c r="H39" s="1">
        <f>IF(D39="", 0, IF(D39&gt;B39, 3, IF(D39=B39, 1, 0)))</f>
        <v>3</v>
      </c>
      <c r="I39" s="1"/>
      <c r="J39" s="54" t="s">
        <v>95</v>
      </c>
      <c r="K39" s="92">
        <v>0</v>
      </c>
      <c r="L39" s="91" t="s">
        <v>12</v>
      </c>
      <c r="M39" s="92">
        <v>2</v>
      </c>
      <c r="N39" s="55" t="s">
        <v>103</v>
      </c>
      <c r="O39" s="17" t="s">
        <v>83</v>
      </c>
      <c r="P39" s="72">
        <f>IF(K39="", 0, IF(K39&gt;M39, 3, IF(K39=M39, 1, 0)))</f>
        <v>0</v>
      </c>
      <c r="Q39" s="1">
        <f>IF(M39="", 0, IF(M39&gt;K39, 3, IF(M39=K39, 1, 0)))</f>
        <v>3</v>
      </c>
      <c r="R39" s="1"/>
      <c r="S39" s="66" t="s">
        <v>129</v>
      </c>
      <c r="T39" s="92">
        <v>0</v>
      </c>
      <c r="U39" s="98" t="s">
        <v>12</v>
      </c>
      <c r="V39" s="92">
        <v>2</v>
      </c>
      <c r="W39" s="67" t="s">
        <v>130</v>
      </c>
      <c r="X39" s="17" t="s">
        <v>123</v>
      </c>
      <c r="Y39" s="1">
        <f>IF(T39="", 0, IF(T39&gt;V39, 3, IF(T39=V39, 1, 0)))</f>
        <v>0</v>
      </c>
      <c r="Z39" s="1">
        <f>IF(V39="", 0, IF(V39&gt;T39, 3, IF(V39=T39, 1, 0)))</f>
        <v>3</v>
      </c>
      <c r="AA39" s="1"/>
      <c r="AB39" s="10">
        <v>2</v>
      </c>
      <c r="AC39" s="14" t="str">
        <f t="shared" si="48"/>
        <v>Suíça</v>
      </c>
      <c r="AD39" s="101">
        <f t="shared" si="49"/>
        <v>4</v>
      </c>
      <c r="AE39" s="101">
        <f t="shared" si="50"/>
        <v>1</v>
      </c>
      <c r="AF39" s="101">
        <f t="shared" si="51"/>
        <v>4</v>
      </c>
      <c r="AG39" s="71" t="str">
        <f t="shared" si="52"/>
        <v>B</v>
      </c>
      <c r="AH39" s="71"/>
      <c r="AI39" s="1"/>
      <c r="AJ39" s="92"/>
      <c r="AK39" s="92"/>
      <c r="AL39" s="92"/>
      <c r="AM39" s="92"/>
      <c r="AN39" s="71"/>
      <c r="AO39" s="1"/>
      <c r="AP39" s="92"/>
      <c r="AQ39" s="92"/>
      <c r="AR39" s="92"/>
      <c r="AS39" s="92"/>
      <c r="AT39" s="71"/>
      <c r="AU39" s="1"/>
      <c r="AV39" s="92"/>
      <c r="AW39" s="92"/>
      <c r="AX39" s="92"/>
      <c r="AY39" s="93"/>
      <c r="AZ39" s="93"/>
      <c r="BA39" s="93"/>
      <c r="BB39" s="93"/>
      <c r="BC39" s="93"/>
      <c r="BD39" s="93"/>
      <c r="BE39" s="93"/>
      <c r="BF39" s="93"/>
      <c r="BG39" s="71"/>
    </row>
    <row r="40" spans="1:59" ht="15.75" customHeight="1">
      <c r="A40" s="113" t="s">
        <v>131</v>
      </c>
      <c r="B40" s="106"/>
      <c r="C40" s="106"/>
      <c r="D40" s="106"/>
      <c r="E40" s="106"/>
      <c r="F40" s="8">
        <v>46190</v>
      </c>
      <c r="G40" s="9"/>
      <c r="H40" s="1"/>
      <c r="I40" s="1"/>
      <c r="J40" s="113" t="s">
        <v>132</v>
      </c>
      <c r="K40" s="106"/>
      <c r="L40" s="106"/>
      <c r="M40" s="106"/>
      <c r="N40" s="106"/>
      <c r="O40" s="8">
        <v>46196</v>
      </c>
      <c r="P40" s="9"/>
      <c r="Q40" s="1"/>
      <c r="R40" s="1"/>
      <c r="S40" s="114" t="s">
        <v>133</v>
      </c>
      <c r="T40" s="106"/>
      <c r="U40" s="106"/>
      <c r="V40" s="106"/>
      <c r="W40" s="106"/>
      <c r="X40" s="8">
        <v>46200</v>
      </c>
      <c r="Y40" s="1"/>
      <c r="Z40" s="1"/>
      <c r="AA40" s="1"/>
      <c r="AB40" s="10">
        <v>3</v>
      </c>
      <c r="AC40" s="14" t="str">
        <f t="shared" si="48"/>
        <v>Escócia</v>
      </c>
      <c r="AD40" s="101">
        <f t="shared" si="49"/>
        <v>4</v>
      </c>
      <c r="AE40" s="101">
        <f t="shared" si="50"/>
        <v>0</v>
      </c>
      <c r="AF40" s="101">
        <f t="shared" si="51"/>
        <v>4</v>
      </c>
      <c r="AG40" s="71" t="str">
        <f t="shared" si="52"/>
        <v>C</v>
      </c>
      <c r="AH40" s="71"/>
      <c r="AI40" s="1"/>
      <c r="AJ40" s="92"/>
      <c r="AK40" s="92"/>
      <c r="AL40" s="92"/>
      <c r="AM40" s="92"/>
      <c r="AN40" s="71"/>
      <c r="AO40" s="1"/>
      <c r="AP40" s="92"/>
      <c r="AQ40" s="92"/>
      <c r="AR40" s="92"/>
      <c r="AS40" s="92"/>
      <c r="AT40" s="71"/>
      <c r="AU40" s="1"/>
      <c r="AV40" s="92"/>
      <c r="AW40" s="92"/>
      <c r="AX40" s="92"/>
      <c r="AY40" s="93"/>
      <c r="AZ40" s="93"/>
      <c r="BA40" s="93"/>
      <c r="BB40" s="93"/>
      <c r="BC40" s="93"/>
      <c r="BD40" s="93"/>
      <c r="BE40" s="93"/>
      <c r="BF40" s="93"/>
      <c r="BG40" s="71"/>
    </row>
    <row r="41" spans="1:59" ht="15.75" customHeight="1">
      <c r="A41" s="56" t="s">
        <v>119</v>
      </c>
      <c r="B41" s="92">
        <v>0</v>
      </c>
      <c r="C41" s="100" t="s">
        <v>12</v>
      </c>
      <c r="D41" s="92">
        <v>1</v>
      </c>
      <c r="E41" s="57" t="s">
        <v>134</v>
      </c>
      <c r="F41" s="17" t="s">
        <v>62</v>
      </c>
      <c r="G41" s="16">
        <f>IF(B41="", 0, IF(B41&gt;D41, 3, IF(B41=D41, 1, 0)))</f>
        <v>0</v>
      </c>
      <c r="H41" s="1">
        <f>IF(D41="", 0, IF(D41&gt;B41, 3, IF(D41=B41, 1, 0)))</f>
        <v>3</v>
      </c>
      <c r="I41" s="1"/>
      <c r="J41" s="56" t="s">
        <v>134</v>
      </c>
      <c r="K41" s="92">
        <v>1</v>
      </c>
      <c r="L41" s="100" t="s">
        <v>12</v>
      </c>
      <c r="M41" s="92">
        <v>2</v>
      </c>
      <c r="N41" s="57" t="s">
        <v>128</v>
      </c>
      <c r="O41" s="17" t="s">
        <v>63</v>
      </c>
      <c r="P41" s="72">
        <f>IF(K41="", 0, IF(K41&gt;M41, 3, IF(K41=M41, 1, 0)))</f>
        <v>0</v>
      </c>
      <c r="Q41" s="1">
        <f>IF(M41="", 0, IF(M41&gt;K41, 3, IF(M41=K41, 1, 0)))</f>
        <v>3</v>
      </c>
      <c r="R41" s="1"/>
      <c r="S41" s="66" t="s">
        <v>135</v>
      </c>
      <c r="T41" s="92">
        <v>1</v>
      </c>
      <c r="U41" s="98" t="s">
        <v>12</v>
      </c>
      <c r="V41" s="92">
        <v>0</v>
      </c>
      <c r="W41" s="67" t="s">
        <v>136</v>
      </c>
      <c r="X41" s="17" t="s">
        <v>123</v>
      </c>
      <c r="Y41" s="1">
        <f>IF(T41="", 0, IF(T41&gt;V41, 3, IF(T41=V41, 1, 0)))</f>
        <v>3</v>
      </c>
      <c r="Z41" s="1">
        <f>IF(V41="", 0, IF(V41&gt;T41, 3, IF(V41=T41, 1, 0)))</f>
        <v>0</v>
      </c>
      <c r="AA41" s="1"/>
      <c r="AB41" s="10">
        <v>4</v>
      </c>
      <c r="AC41" s="14" t="str">
        <f t="shared" si="48"/>
        <v>Tunísia</v>
      </c>
      <c r="AD41" s="101">
        <f t="shared" si="49"/>
        <v>4</v>
      </c>
      <c r="AE41" s="101">
        <f t="shared" si="50"/>
        <v>0</v>
      </c>
      <c r="AF41" s="101">
        <f t="shared" si="51"/>
        <v>3</v>
      </c>
      <c r="AG41" s="71" t="str">
        <f t="shared" si="52"/>
        <v>F</v>
      </c>
      <c r="AH41" s="71"/>
      <c r="AI41" s="1"/>
      <c r="AJ41" s="92"/>
      <c r="AK41" s="92"/>
      <c r="AL41" s="92"/>
      <c r="AM41" s="92"/>
      <c r="AN41" s="71"/>
      <c r="AO41" s="1"/>
      <c r="AP41" s="92"/>
      <c r="AQ41" s="92"/>
      <c r="AR41" s="92"/>
      <c r="AS41" s="92"/>
      <c r="AT41" s="71"/>
      <c r="AU41" s="1"/>
      <c r="AV41" s="92"/>
      <c r="AW41" s="92"/>
      <c r="AX41" s="92"/>
      <c r="AY41" s="93"/>
      <c r="AZ41" s="93"/>
      <c r="BA41" s="93"/>
      <c r="BB41" s="93"/>
      <c r="BC41" s="93"/>
      <c r="BD41" s="93"/>
      <c r="BE41" s="93"/>
      <c r="BF41" s="93"/>
      <c r="BG41" s="71"/>
    </row>
    <row r="42" spans="1:59" ht="15.75" customHeight="1">
      <c r="A42" s="112" t="s">
        <v>137</v>
      </c>
      <c r="B42" s="106"/>
      <c r="C42" s="106"/>
      <c r="D42" s="106"/>
      <c r="E42" s="106"/>
      <c r="F42" s="8">
        <v>46190</v>
      </c>
      <c r="G42" s="9"/>
      <c r="H42" s="1"/>
      <c r="I42" s="1"/>
      <c r="J42" s="112" t="s">
        <v>138</v>
      </c>
      <c r="K42" s="106"/>
      <c r="L42" s="106"/>
      <c r="M42" s="106"/>
      <c r="N42" s="106"/>
      <c r="O42" s="8">
        <v>46196</v>
      </c>
      <c r="P42" s="9"/>
      <c r="Q42" s="1"/>
      <c r="R42" s="1"/>
      <c r="S42" s="112" t="s">
        <v>139</v>
      </c>
      <c r="T42" s="106"/>
      <c r="U42" s="106"/>
      <c r="V42" s="106"/>
      <c r="W42" s="106"/>
      <c r="X42" s="8">
        <v>46200</v>
      </c>
      <c r="Y42" s="1"/>
      <c r="Z42" s="1"/>
      <c r="AA42" s="1"/>
      <c r="AB42" s="10">
        <v>5</v>
      </c>
      <c r="AC42" s="14" t="str">
        <f t="shared" si="48"/>
        <v>Austrália</v>
      </c>
      <c r="AD42" s="101">
        <f t="shared" si="49"/>
        <v>4</v>
      </c>
      <c r="AE42" s="101">
        <f t="shared" si="50"/>
        <v>0</v>
      </c>
      <c r="AF42" s="101">
        <f t="shared" si="51"/>
        <v>1</v>
      </c>
      <c r="AG42" s="71" t="str">
        <f t="shared" si="52"/>
        <v>D</v>
      </c>
      <c r="AH42" s="71"/>
      <c r="AI42" s="1"/>
      <c r="AJ42" s="92"/>
      <c r="AK42" s="92"/>
      <c r="AL42" s="92"/>
      <c r="AM42" s="92"/>
      <c r="AN42" s="71"/>
      <c r="AO42" s="1"/>
      <c r="AP42" s="92"/>
      <c r="AQ42" s="92"/>
      <c r="AR42" s="92"/>
      <c r="AS42" s="92"/>
      <c r="AT42" s="71"/>
      <c r="AU42" s="1"/>
      <c r="AV42" s="92"/>
      <c r="AW42" s="92"/>
      <c r="AX42" s="92"/>
      <c r="AY42" s="93"/>
      <c r="AZ42" s="93"/>
      <c r="BA42" s="93"/>
      <c r="BB42" s="93"/>
      <c r="BC42" s="93"/>
      <c r="BD42" s="93"/>
      <c r="BE42" s="93"/>
      <c r="BF42" s="93"/>
      <c r="BG42" s="71"/>
    </row>
    <row r="43" spans="1:59" ht="15.75" customHeight="1">
      <c r="A43" s="64" t="s">
        <v>140</v>
      </c>
      <c r="B43" s="92">
        <v>4</v>
      </c>
      <c r="C43" s="99" t="s">
        <v>12</v>
      </c>
      <c r="D43" s="92">
        <v>1</v>
      </c>
      <c r="E43" s="65" t="s">
        <v>141</v>
      </c>
      <c r="F43" s="17" t="s">
        <v>69</v>
      </c>
      <c r="G43" s="16">
        <f>IF(B43="", 0, IF(B43&gt;D43, 3, IF(B43=D43, 1, 0)))</f>
        <v>3</v>
      </c>
      <c r="H43" s="1">
        <f>IF(D43="", 0, IF(D43&gt;B43, 3, IF(D43=B43, 1, 0)))</f>
        <v>0</v>
      </c>
      <c r="I43" s="1"/>
      <c r="J43" s="64" t="s">
        <v>140</v>
      </c>
      <c r="K43" s="92">
        <v>3</v>
      </c>
      <c r="L43" s="99" t="s">
        <v>12</v>
      </c>
      <c r="M43" s="92">
        <v>0</v>
      </c>
      <c r="N43" s="65" t="s">
        <v>142</v>
      </c>
      <c r="O43" s="17" t="s">
        <v>69</v>
      </c>
      <c r="P43" s="72">
        <f>IF(K43="", 0, IF(K43&gt;M43, 3, IF(K43=M43, 1, 0)))</f>
        <v>3</v>
      </c>
      <c r="Q43" s="1">
        <f>IF(M43="", 0, IF(M43&gt;K43, 3, IF(M43=K43, 1, 0)))</f>
        <v>0</v>
      </c>
      <c r="R43" s="1"/>
      <c r="S43" s="64" t="s">
        <v>143</v>
      </c>
      <c r="T43" s="92">
        <v>3</v>
      </c>
      <c r="U43" s="99" t="s">
        <v>12</v>
      </c>
      <c r="V43" s="92">
        <v>2</v>
      </c>
      <c r="W43" s="65" t="s">
        <v>140</v>
      </c>
      <c r="X43" s="17" t="s">
        <v>144</v>
      </c>
      <c r="Y43" s="1">
        <f>IF(T43="", 0, IF(T43&gt;V43, 3, IF(T43=V43, 1, 0)))</f>
        <v>3</v>
      </c>
      <c r="Z43" s="1">
        <f>IF(V43="", 0, IF(V43&gt;T43, 3, IF(V43=T43, 1, 0)))</f>
        <v>0</v>
      </c>
      <c r="AA43" s="1"/>
      <c r="AB43" s="10">
        <v>6</v>
      </c>
      <c r="AC43" s="14" t="str">
        <f t="shared" si="48"/>
        <v>Egito</v>
      </c>
      <c r="AD43" s="101">
        <f t="shared" si="49"/>
        <v>3</v>
      </c>
      <c r="AE43" s="101">
        <f t="shared" si="50"/>
        <v>0</v>
      </c>
      <c r="AF43" s="101">
        <f t="shared" si="51"/>
        <v>4</v>
      </c>
      <c r="AG43" s="71" t="str">
        <f t="shared" si="52"/>
        <v>G</v>
      </c>
      <c r="AH43" s="71"/>
      <c r="AI43" s="1"/>
      <c r="AJ43" s="92"/>
      <c r="AK43" s="92"/>
      <c r="AL43" s="92"/>
      <c r="AM43" s="92"/>
      <c r="AN43" s="71"/>
      <c r="AO43" s="1"/>
      <c r="AP43" s="92"/>
      <c r="AQ43" s="92"/>
      <c r="AR43" s="92"/>
      <c r="AS43" s="92"/>
      <c r="AT43" s="71"/>
      <c r="AU43" s="1"/>
      <c r="AV43" s="92"/>
      <c r="AW43" s="92"/>
      <c r="AX43" s="92"/>
      <c r="AY43" s="93"/>
      <c r="AZ43" s="93"/>
      <c r="BA43" s="93"/>
      <c r="BB43" s="93"/>
      <c r="BC43" s="93"/>
      <c r="BD43" s="93"/>
      <c r="BE43" s="93"/>
      <c r="BF43" s="93"/>
      <c r="BG43" s="71"/>
    </row>
    <row r="44" spans="1:59" ht="15.75" customHeight="1">
      <c r="A44" s="114" t="s">
        <v>145</v>
      </c>
      <c r="B44" s="106"/>
      <c r="C44" s="106"/>
      <c r="D44" s="106"/>
      <c r="E44" s="106"/>
      <c r="F44" s="8">
        <v>46190</v>
      </c>
      <c r="G44" s="9"/>
      <c r="H44" s="1"/>
      <c r="I44" s="1"/>
      <c r="J44" s="114" t="s">
        <v>146</v>
      </c>
      <c r="K44" s="106"/>
      <c r="L44" s="106"/>
      <c r="M44" s="106"/>
      <c r="N44" s="106"/>
      <c r="O44" s="8">
        <v>46196</v>
      </c>
      <c r="P44" s="9"/>
      <c r="Q44" s="1"/>
      <c r="R44" s="1"/>
      <c r="S44" s="112" t="s">
        <v>147</v>
      </c>
      <c r="T44" s="106"/>
      <c r="U44" s="106"/>
      <c r="V44" s="106"/>
      <c r="W44" s="106"/>
      <c r="X44" s="8">
        <v>46200</v>
      </c>
      <c r="Y44" s="1"/>
      <c r="Z44" s="1"/>
      <c r="AA44" s="1"/>
      <c r="AB44" s="10">
        <v>7</v>
      </c>
      <c r="AC44" s="14" t="str">
        <f t="shared" si="48"/>
        <v>África do Sul</v>
      </c>
      <c r="AD44" s="101">
        <f t="shared" si="49"/>
        <v>3</v>
      </c>
      <c r="AE44" s="101">
        <f t="shared" si="50"/>
        <v>-1</v>
      </c>
      <c r="AF44" s="101">
        <f t="shared" si="51"/>
        <v>3</v>
      </c>
      <c r="AG44" s="71" t="str">
        <f t="shared" si="52"/>
        <v>A</v>
      </c>
      <c r="AH44" s="71"/>
      <c r="AI44" s="1"/>
      <c r="AJ44" s="92"/>
      <c r="AK44" s="92"/>
      <c r="AL44" s="92"/>
      <c r="AM44" s="92"/>
      <c r="AN44" s="71"/>
      <c r="AO44" s="1"/>
      <c r="AP44" s="92"/>
      <c r="AQ44" s="92"/>
      <c r="AR44" s="92"/>
      <c r="AS44" s="92"/>
      <c r="AT44" s="71"/>
      <c r="AU44" s="1"/>
      <c r="AV44" s="92"/>
      <c r="AW44" s="92"/>
      <c r="AX44" s="92"/>
      <c r="AY44" s="93"/>
      <c r="AZ44" s="93"/>
      <c r="BA44" s="93"/>
      <c r="BB44" s="93"/>
      <c r="BC44" s="93"/>
      <c r="BD44" s="93"/>
      <c r="BE44" s="93"/>
      <c r="BF44" s="93"/>
      <c r="BG44" s="71"/>
    </row>
    <row r="45" spans="1:59" ht="15.75" customHeight="1">
      <c r="A45" s="66" t="s">
        <v>130</v>
      </c>
      <c r="B45" s="92">
        <v>0</v>
      </c>
      <c r="C45" s="98" t="s">
        <v>12</v>
      </c>
      <c r="D45" s="92">
        <v>1</v>
      </c>
      <c r="E45" s="67" t="s">
        <v>135</v>
      </c>
      <c r="F45" s="17" t="s">
        <v>57</v>
      </c>
      <c r="G45" s="16">
        <f>IF(B45="", 0, IF(B45&gt;D45, 3, IF(B45=D45, 1, 0)))</f>
        <v>0</v>
      </c>
      <c r="H45" s="1">
        <f>IF(D45="", 0, IF(D45&gt;B45, 3, IF(D45=B45, 1, 0)))</f>
        <v>3</v>
      </c>
      <c r="I45" s="1"/>
      <c r="J45" s="66" t="s">
        <v>130</v>
      </c>
      <c r="K45" s="92">
        <v>1</v>
      </c>
      <c r="L45" s="98" t="s">
        <v>12</v>
      </c>
      <c r="M45" s="92">
        <v>0</v>
      </c>
      <c r="N45" s="67" t="s">
        <v>136</v>
      </c>
      <c r="O45" s="17" t="s">
        <v>57</v>
      </c>
      <c r="P45" s="72">
        <f>IF(K45="", 0, IF(K45&gt;M45, 3, IF(K45=M45, 1, 0)))</f>
        <v>3</v>
      </c>
      <c r="Q45" s="1">
        <f>IF(M45="", 0, IF(M45&gt;K45, 3, IF(M45=K45, 1, 0)))</f>
        <v>0</v>
      </c>
      <c r="R45" s="1"/>
      <c r="S45" s="64" t="s">
        <v>141</v>
      </c>
      <c r="T45" s="92">
        <v>0</v>
      </c>
      <c r="U45" s="99" t="s">
        <v>12</v>
      </c>
      <c r="V45" s="92">
        <v>1</v>
      </c>
      <c r="W45" s="65" t="s">
        <v>142</v>
      </c>
      <c r="X45" s="17" t="s">
        <v>144</v>
      </c>
      <c r="Y45" s="1">
        <f>IF(T45="", 0, IF(T45&gt;V45, 3, IF(T45=V45, 1, 0)))</f>
        <v>0</v>
      </c>
      <c r="Z45" s="1">
        <f>IF(V45="", 0, IF(V45&gt;T45, 3, IF(V45=T45, 1, 0)))</f>
        <v>3</v>
      </c>
      <c r="AA45" s="1"/>
      <c r="AB45" s="10">
        <v>8</v>
      </c>
      <c r="AC45" s="14" t="str">
        <f t="shared" si="48"/>
        <v>Curaçao</v>
      </c>
      <c r="AD45" s="101">
        <f t="shared" si="49"/>
        <v>3</v>
      </c>
      <c r="AE45" s="101">
        <f t="shared" si="50"/>
        <v>-1</v>
      </c>
      <c r="AF45" s="101">
        <f t="shared" si="51"/>
        <v>2</v>
      </c>
      <c r="AG45" s="71" t="str">
        <f t="shared" si="52"/>
        <v>E</v>
      </c>
      <c r="AH45" s="71"/>
      <c r="AI45" s="1"/>
      <c r="AJ45" s="92"/>
      <c r="AK45" s="92"/>
      <c r="AL45" s="92"/>
      <c r="AM45" s="92"/>
      <c r="AN45" s="71"/>
      <c r="AO45" s="1"/>
      <c r="AP45" s="92"/>
      <c r="AQ45" s="92"/>
      <c r="AR45" s="92"/>
      <c r="AS45" s="92"/>
      <c r="AT45" s="71"/>
      <c r="AU45" s="1"/>
      <c r="AV45" s="92"/>
      <c r="AW45" s="92"/>
      <c r="AX45" s="92"/>
      <c r="AY45" s="93"/>
      <c r="AZ45" s="93"/>
      <c r="BA45" s="93"/>
      <c r="BB45" s="93"/>
      <c r="BC45" s="93"/>
      <c r="BD45" s="93"/>
      <c r="BE45" s="93"/>
      <c r="BF45" s="93"/>
      <c r="BG45" s="71"/>
    </row>
    <row r="46" spans="1:59" ht="15.75" customHeight="1">
      <c r="A46" s="114" t="s">
        <v>148</v>
      </c>
      <c r="B46" s="106"/>
      <c r="C46" s="106"/>
      <c r="D46" s="106"/>
      <c r="E46" s="106"/>
      <c r="F46" s="8">
        <v>46190</v>
      </c>
      <c r="G46" s="9"/>
      <c r="H46" s="1"/>
      <c r="I46" s="1"/>
      <c r="J46" s="114" t="s">
        <v>149</v>
      </c>
      <c r="K46" s="106"/>
      <c r="L46" s="106"/>
      <c r="M46" s="106"/>
      <c r="N46" s="106"/>
      <c r="O46" s="8">
        <v>46196</v>
      </c>
      <c r="P46" s="9"/>
      <c r="Q46" s="1"/>
      <c r="R46" s="1"/>
      <c r="S46" s="113" t="s">
        <v>150</v>
      </c>
      <c r="T46" s="106"/>
      <c r="U46" s="106"/>
      <c r="V46" s="106"/>
      <c r="W46" s="106"/>
      <c r="X46" s="8">
        <v>46200</v>
      </c>
      <c r="Y46" s="1"/>
      <c r="Z46" s="1"/>
      <c r="AA46" s="1"/>
      <c r="AB46" s="46">
        <v>9</v>
      </c>
      <c r="AC46" s="47" t="str">
        <f t="shared" si="48"/>
        <v>Áustria</v>
      </c>
      <c r="AD46" s="89">
        <f t="shared" si="49"/>
        <v>3</v>
      </c>
      <c r="AE46" s="89">
        <f t="shared" si="50"/>
        <v>-1</v>
      </c>
      <c r="AF46" s="89">
        <f t="shared" si="51"/>
        <v>1</v>
      </c>
      <c r="AG46" s="71" t="str">
        <f t="shared" si="52"/>
        <v>J</v>
      </c>
      <c r="AH46" s="71"/>
      <c r="AI46" s="1"/>
      <c r="AJ46" s="92"/>
      <c r="AK46" s="92"/>
      <c r="AL46" s="92"/>
      <c r="AM46" s="92"/>
      <c r="AN46" s="71"/>
      <c r="AO46" s="1"/>
      <c r="AP46" s="92"/>
      <c r="AQ46" s="92"/>
      <c r="AR46" s="92"/>
      <c r="AS46" s="92"/>
      <c r="AT46" s="71"/>
      <c r="AU46" s="1"/>
      <c r="AV46" s="92"/>
      <c r="AW46" s="92"/>
      <c r="AX46" s="92"/>
      <c r="AY46" s="93"/>
      <c r="AZ46" s="93"/>
      <c r="BA46" s="93"/>
      <c r="BB46" s="93"/>
      <c r="BC46" s="93"/>
      <c r="BD46" s="93"/>
      <c r="BE46" s="93"/>
      <c r="BF46" s="93"/>
      <c r="BG46" s="71"/>
    </row>
    <row r="47" spans="1:59" ht="15.75" customHeight="1">
      <c r="A47" s="66" t="s">
        <v>136</v>
      </c>
      <c r="B47" s="92">
        <v>2</v>
      </c>
      <c r="C47" s="98" t="s">
        <v>12</v>
      </c>
      <c r="D47" s="92">
        <v>2</v>
      </c>
      <c r="E47" s="67" t="s">
        <v>129</v>
      </c>
      <c r="F47" s="17" t="s">
        <v>73</v>
      </c>
      <c r="G47" s="16">
        <f>IF(B47="", 0, IF(B47&gt;D47, 3, IF(B47=D47, 1, 0)))</f>
        <v>1</v>
      </c>
      <c r="H47" s="1">
        <f>IF(D47="", 0, IF(D47&gt;B47, 3, IF(D47=B47, 1, 0)))</f>
        <v>1</v>
      </c>
      <c r="I47" s="1"/>
      <c r="J47" s="66" t="s">
        <v>129</v>
      </c>
      <c r="K47" s="92">
        <v>1</v>
      </c>
      <c r="L47" s="98" t="s">
        <v>12</v>
      </c>
      <c r="M47" s="92">
        <v>2</v>
      </c>
      <c r="N47" s="67" t="s">
        <v>135</v>
      </c>
      <c r="O47" s="17" t="s">
        <v>73</v>
      </c>
      <c r="P47" s="72">
        <f>IF(K47="", 0, IF(K47&gt;M47, 3, IF(K47=M47, 1, 0)))</f>
        <v>0</v>
      </c>
      <c r="Q47" s="1">
        <f>IF(M47="", 0, IF(M47&gt;K47, 3, IF(M47=K47, 1, 0)))</f>
        <v>3</v>
      </c>
      <c r="R47" s="1"/>
      <c r="S47" s="56" t="s">
        <v>128</v>
      </c>
      <c r="T47" s="92">
        <v>1</v>
      </c>
      <c r="U47" s="100" t="s">
        <v>12</v>
      </c>
      <c r="V47" s="92">
        <v>0</v>
      </c>
      <c r="W47" s="57" t="s">
        <v>119</v>
      </c>
      <c r="X47" s="17" t="s">
        <v>23</v>
      </c>
      <c r="Y47" s="1">
        <f>IF(T47="", 0, IF(T47&gt;V47, 3, IF(T47=V47, 1, 0)))</f>
        <v>3</v>
      </c>
      <c r="Z47" s="1">
        <f>IF(V47="", 0, IF(V47&gt;T47, 3, IF(V47=T47, 1, 0)))</f>
        <v>0</v>
      </c>
      <c r="AA47" s="1"/>
      <c r="AB47" s="46">
        <v>10</v>
      </c>
      <c r="AC47" s="47" t="str">
        <f t="shared" si="48"/>
        <v>Arábia Saudita</v>
      </c>
      <c r="AD47" s="89">
        <f t="shared" si="49"/>
        <v>3</v>
      </c>
      <c r="AE47" s="89">
        <f t="shared" si="50"/>
        <v>-2</v>
      </c>
      <c r="AF47" s="89">
        <f t="shared" si="51"/>
        <v>3</v>
      </c>
      <c r="AG47" s="71" t="str">
        <f t="shared" si="52"/>
        <v>H</v>
      </c>
      <c r="AH47" s="71"/>
      <c r="AI47" s="1"/>
      <c r="AJ47" s="92"/>
      <c r="AK47" s="92"/>
      <c r="AL47" s="92"/>
      <c r="AM47" s="92"/>
      <c r="AN47" s="71"/>
      <c r="AO47" s="1"/>
      <c r="AP47" s="92"/>
      <c r="AQ47" s="92"/>
      <c r="AR47" s="92"/>
      <c r="AS47" s="92"/>
      <c r="AT47" s="71"/>
      <c r="AU47" s="1"/>
      <c r="AV47" s="92"/>
      <c r="AW47" s="92"/>
      <c r="AX47" s="92"/>
      <c r="AY47" s="93"/>
      <c r="AZ47" s="93"/>
      <c r="BA47" s="93"/>
      <c r="BB47" s="93"/>
      <c r="BC47" s="93"/>
      <c r="BD47" s="93"/>
      <c r="BE47" s="93"/>
      <c r="BF47" s="93"/>
      <c r="BG47" s="71"/>
    </row>
    <row r="48" spans="1:59" ht="15.75" customHeight="1">
      <c r="A48" s="112" t="s">
        <v>151</v>
      </c>
      <c r="B48" s="106"/>
      <c r="C48" s="106"/>
      <c r="D48" s="106"/>
      <c r="E48" s="106"/>
      <c r="F48" s="8">
        <v>46190</v>
      </c>
      <c r="G48" s="9"/>
      <c r="H48" s="1"/>
      <c r="I48" s="1"/>
      <c r="J48" s="112" t="s">
        <v>152</v>
      </c>
      <c r="K48" s="106"/>
      <c r="L48" s="106"/>
      <c r="M48" s="106"/>
      <c r="N48" s="106"/>
      <c r="O48" s="8">
        <v>46196</v>
      </c>
      <c r="P48" s="9"/>
      <c r="Q48" s="1"/>
      <c r="R48" s="1"/>
      <c r="S48" s="113" t="s">
        <v>153</v>
      </c>
      <c r="T48" s="106"/>
      <c r="U48" s="106"/>
      <c r="V48" s="106"/>
      <c r="W48" s="106"/>
      <c r="X48" s="8">
        <v>46200</v>
      </c>
      <c r="Y48" s="1"/>
      <c r="Z48" s="1"/>
      <c r="AA48" s="1"/>
      <c r="AB48" s="46">
        <v>11</v>
      </c>
      <c r="AC48" s="47" t="str">
        <f t="shared" si="48"/>
        <v>Senegal</v>
      </c>
      <c r="AD48" s="89">
        <f t="shared" si="49"/>
        <v>3</v>
      </c>
      <c r="AE48" s="89">
        <f t="shared" si="50"/>
        <v>-3</v>
      </c>
      <c r="AF48" s="89">
        <f t="shared" si="51"/>
        <v>2</v>
      </c>
      <c r="AG48" s="71" t="str">
        <f t="shared" si="52"/>
        <v>I</v>
      </c>
      <c r="AH48" s="71"/>
      <c r="AI48" s="1"/>
      <c r="AJ48" s="92"/>
      <c r="AK48" s="92"/>
      <c r="AL48" s="92"/>
      <c r="AM48" s="92"/>
      <c r="AN48" s="71"/>
      <c r="AO48" s="1"/>
      <c r="AP48" s="92"/>
      <c r="AQ48" s="92"/>
      <c r="AR48" s="92"/>
      <c r="AS48" s="92"/>
      <c r="AT48" s="71"/>
      <c r="AU48" s="1"/>
      <c r="AV48" s="92"/>
      <c r="AW48" s="92"/>
      <c r="AX48" s="92"/>
      <c r="AY48" s="93"/>
      <c r="AZ48" s="93"/>
      <c r="BA48" s="93"/>
      <c r="BB48" s="93"/>
      <c r="BC48" s="93"/>
      <c r="BD48" s="93"/>
      <c r="BE48" s="93"/>
      <c r="BF48" s="93"/>
      <c r="BG48" s="71"/>
    </row>
    <row r="49" spans="1:59" ht="15.75" customHeight="1">
      <c r="A49" s="64" t="s">
        <v>142</v>
      </c>
      <c r="B49" s="92">
        <v>2</v>
      </c>
      <c r="C49" s="99" t="s">
        <v>12</v>
      </c>
      <c r="D49" s="92">
        <v>0</v>
      </c>
      <c r="E49" s="65" t="s">
        <v>143</v>
      </c>
      <c r="F49" s="17" t="s">
        <v>23</v>
      </c>
      <c r="G49" s="16">
        <f>IF(B49="", 0, IF(B49&gt;D49, 3, IF(B49=D49, 1, 0)))</f>
        <v>3</v>
      </c>
      <c r="H49" s="1">
        <f>IF(D49="", 0, IF(D49&gt;B49, 3, IF(D49=B49, 1, 0)))</f>
        <v>0</v>
      </c>
      <c r="I49" s="1"/>
      <c r="J49" s="64" t="s">
        <v>143</v>
      </c>
      <c r="K49" s="92">
        <v>4</v>
      </c>
      <c r="L49" s="99" t="s">
        <v>12</v>
      </c>
      <c r="M49" s="92">
        <v>0</v>
      </c>
      <c r="N49" s="65" t="s">
        <v>141</v>
      </c>
      <c r="O49" s="17" t="s">
        <v>23</v>
      </c>
      <c r="P49" s="72">
        <f>IF(K49="", 0, IF(K49&gt;M49, 3, IF(K49=M49, 1, 0)))</f>
        <v>3</v>
      </c>
      <c r="Q49" s="1">
        <f>IF(M49="", 0, IF(M49&gt;K49, 3, IF(M49=K49, 1, 0)))</f>
        <v>0</v>
      </c>
      <c r="R49" s="1"/>
      <c r="S49" s="56" t="s">
        <v>134</v>
      </c>
      <c r="T49" s="92">
        <v>1</v>
      </c>
      <c r="U49" s="100" t="s">
        <v>12</v>
      </c>
      <c r="V49" s="92">
        <v>3</v>
      </c>
      <c r="W49" s="57" t="s">
        <v>118</v>
      </c>
      <c r="X49" s="17" t="s">
        <v>23</v>
      </c>
      <c r="Y49" s="1">
        <f>IF(T49="", 0, IF(T49&gt;V49, 3, IF(T49=V49, 1, 0)))</f>
        <v>0</v>
      </c>
      <c r="Z49" s="1">
        <f>IF(V49="", 0, IF(V49&gt;T49, 3, IF(V49=T49, 1, 0)))</f>
        <v>3</v>
      </c>
      <c r="AA49" s="1"/>
      <c r="AB49" s="46">
        <v>12</v>
      </c>
      <c r="AC49" s="47" t="str">
        <f t="shared" si="48"/>
        <v>Gana</v>
      </c>
      <c r="AD49" s="89">
        <f t="shared" si="49"/>
        <v>1</v>
      </c>
      <c r="AE49" s="89">
        <f t="shared" si="50"/>
        <v>-2</v>
      </c>
      <c r="AF49" s="89">
        <f t="shared" si="51"/>
        <v>2</v>
      </c>
      <c r="AG49" s="71" t="str">
        <f t="shared" si="52"/>
        <v>L</v>
      </c>
      <c r="AH49" s="71"/>
      <c r="AI49" s="1"/>
      <c r="AJ49" s="92"/>
      <c r="AK49" s="92"/>
      <c r="AL49" s="92"/>
      <c r="AM49" s="92"/>
      <c r="AN49" s="71"/>
      <c r="AO49" s="1"/>
      <c r="AP49" s="92"/>
      <c r="AQ49" s="92"/>
      <c r="AR49" s="92"/>
      <c r="AS49" s="92"/>
      <c r="AT49" s="71"/>
      <c r="AU49" s="1"/>
      <c r="AV49" s="92"/>
      <c r="AW49" s="92"/>
      <c r="AX49" s="92"/>
      <c r="AY49" s="93"/>
      <c r="AZ49" s="93"/>
      <c r="BA49" s="93"/>
      <c r="BB49" s="93"/>
      <c r="BC49" s="93"/>
      <c r="BD49" s="93"/>
      <c r="BE49" s="93"/>
      <c r="BF49" s="93"/>
      <c r="BG49" s="71"/>
    </row>
    <row r="50" spans="1:59" ht="15.75" customHeight="1">
      <c r="A50" s="71"/>
      <c r="B50" s="71"/>
      <c r="C50" s="1"/>
      <c r="D50" s="72"/>
      <c r="E50" s="1"/>
      <c r="F50" s="69"/>
      <c r="G50" s="72"/>
      <c r="H50" s="1"/>
      <c r="I50" s="1"/>
      <c r="J50" s="71"/>
      <c r="K50" s="1"/>
      <c r="L50" s="1"/>
      <c r="M50" s="1"/>
      <c r="N50" s="1"/>
      <c r="O50" s="72"/>
      <c r="P50" s="1"/>
      <c r="Q50" s="1"/>
      <c r="R50" s="1"/>
      <c r="S50" s="71"/>
      <c r="T50" s="1"/>
      <c r="U50" s="71"/>
      <c r="V50" s="72"/>
      <c r="W50" s="1"/>
      <c r="X50" s="72"/>
      <c r="Y50" s="1"/>
      <c r="Z50" s="1"/>
      <c r="AA50" s="1"/>
      <c r="AB50" s="71"/>
      <c r="AC50" s="1"/>
      <c r="AD50" s="92"/>
      <c r="AE50" s="92"/>
      <c r="AF50" s="92"/>
      <c r="AG50" s="1"/>
      <c r="AH50" s="71"/>
      <c r="AI50" s="1"/>
      <c r="AJ50" s="92"/>
      <c r="AK50" s="92"/>
      <c r="AL50" s="92"/>
      <c r="AM50" s="92"/>
      <c r="AN50" s="71"/>
      <c r="AO50" s="1"/>
      <c r="AP50" s="92"/>
      <c r="AQ50" s="92"/>
      <c r="AR50" s="92"/>
      <c r="AS50" s="92"/>
      <c r="AT50" s="71"/>
      <c r="AU50" s="1"/>
      <c r="AV50" s="92"/>
      <c r="AW50" s="92"/>
      <c r="AX50" s="92"/>
      <c r="AY50" s="93"/>
      <c r="AZ50" s="93"/>
      <c r="BA50" s="93"/>
      <c r="BB50" s="93"/>
      <c r="BC50" s="93"/>
      <c r="BD50" s="93"/>
      <c r="BE50" s="93"/>
      <c r="BF50" s="93"/>
      <c r="BG50" s="71"/>
    </row>
    <row r="51" spans="1:59" ht="15.75" customHeight="1">
      <c r="A51" s="71"/>
      <c r="B51" s="71"/>
      <c r="C51" s="1"/>
      <c r="D51" s="72"/>
      <c r="E51" s="1"/>
      <c r="F51" s="72"/>
      <c r="G51" s="72"/>
      <c r="H51" s="1"/>
      <c r="I51" s="1"/>
      <c r="J51" s="71"/>
      <c r="K51" s="1"/>
      <c r="L51" s="1"/>
      <c r="M51" s="1"/>
      <c r="N51" s="1"/>
      <c r="O51" s="72"/>
      <c r="P51" s="1"/>
      <c r="Q51" s="1"/>
      <c r="R51" s="1"/>
      <c r="S51" s="103"/>
      <c r="T51" s="104"/>
      <c r="U51" s="104"/>
      <c r="V51" s="104"/>
      <c r="W51" s="104"/>
      <c r="X51" s="72"/>
      <c r="Y51" s="1"/>
      <c r="Z51" s="1"/>
      <c r="AA51" s="1"/>
      <c r="AB51" s="71"/>
      <c r="AC51" s="1"/>
      <c r="AD51" s="92"/>
      <c r="AE51" s="92"/>
      <c r="AF51" s="92"/>
      <c r="AG51" s="1"/>
      <c r="AH51" s="71"/>
      <c r="AI51" s="1"/>
      <c r="AJ51" s="92"/>
      <c r="AK51" s="92"/>
      <c r="AL51" s="92"/>
      <c r="AM51" s="92"/>
      <c r="AN51" s="71"/>
      <c r="AO51" s="1"/>
      <c r="AP51" s="92"/>
      <c r="AQ51" s="92"/>
      <c r="AR51" s="92"/>
      <c r="AS51" s="92"/>
      <c r="AT51" s="71"/>
      <c r="AU51" s="1"/>
      <c r="AV51" s="92"/>
      <c r="AW51" s="92"/>
      <c r="AX51" s="92"/>
      <c r="AY51" s="93"/>
      <c r="AZ51" s="93"/>
      <c r="BA51" s="93"/>
      <c r="BB51" s="93"/>
      <c r="BC51" s="93"/>
      <c r="BD51" s="93"/>
      <c r="BE51" s="93"/>
      <c r="BF51" s="93"/>
      <c r="BG51" s="71"/>
    </row>
    <row r="52" spans="1:59" ht="15.75" customHeight="1">
      <c r="A52" s="105" t="s">
        <v>154</v>
      </c>
      <c r="B52" s="106"/>
      <c r="C52" s="106"/>
      <c r="D52" s="106"/>
      <c r="E52" s="106"/>
      <c r="F52" s="72"/>
      <c r="G52" s="72"/>
      <c r="H52" s="1"/>
      <c r="I52" s="1"/>
      <c r="J52" s="71"/>
      <c r="K52" s="1"/>
      <c r="L52" s="1"/>
      <c r="M52" s="1"/>
      <c r="N52" s="1"/>
      <c r="O52" s="72"/>
      <c r="P52" s="1"/>
      <c r="Q52" s="1"/>
      <c r="R52" s="1"/>
      <c r="S52" s="71"/>
      <c r="T52" s="1"/>
      <c r="U52" s="71"/>
      <c r="V52" s="72"/>
      <c r="W52" s="1"/>
      <c r="X52" s="72"/>
      <c r="Y52" s="1"/>
      <c r="Z52" s="1"/>
      <c r="AA52" s="1"/>
      <c r="AB52" s="71"/>
      <c r="AC52" s="1"/>
      <c r="AD52" s="92"/>
      <c r="AE52" s="92"/>
      <c r="AF52" s="92"/>
      <c r="AG52" s="1"/>
      <c r="AH52" s="71"/>
      <c r="AI52" s="1"/>
      <c r="AJ52" s="92"/>
      <c r="AK52" s="92"/>
      <c r="AL52" s="92"/>
      <c r="AM52" s="92"/>
      <c r="AN52" s="71"/>
      <c r="AO52" s="1"/>
      <c r="AP52" s="92"/>
      <c r="AQ52" s="92"/>
      <c r="AR52" s="92"/>
      <c r="AS52" s="92"/>
      <c r="AT52" s="71"/>
      <c r="AU52" s="1"/>
      <c r="AV52" s="92"/>
      <c r="AW52" s="92"/>
      <c r="AX52" s="92"/>
      <c r="AY52" s="93"/>
      <c r="AZ52" s="93"/>
      <c r="BA52" s="93"/>
      <c r="BB52" s="93"/>
      <c r="BC52" s="93"/>
      <c r="BD52" s="93"/>
      <c r="BE52" s="93"/>
      <c r="BF52" s="93"/>
      <c r="BG52" s="71"/>
    </row>
    <row r="53" spans="1:59" ht="15.75" customHeight="1">
      <c r="A53" s="107" t="s">
        <v>155</v>
      </c>
      <c r="B53" s="106"/>
      <c r="C53" s="106"/>
      <c r="D53" s="106"/>
      <c r="E53" s="106"/>
      <c r="F53" s="8">
        <v>46201</v>
      </c>
      <c r="G53" s="72"/>
      <c r="H53" s="1"/>
      <c r="I53" s="1"/>
      <c r="J53" s="71"/>
      <c r="K53" s="1"/>
      <c r="L53" s="1"/>
      <c r="M53" s="1"/>
      <c r="N53" s="1"/>
      <c r="O53" s="72"/>
      <c r="P53" s="1"/>
      <c r="Q53" s="1"/>
      <c r="R53" s="1"/>
      <c r="S53" s="71"/>
      <c r="T53" s="1"/>
      <c r="U53" s="71"/>
      <c r="V53" s="72"/>
      <c r="W53" s="1"/>
      <c r="X53" s="72"/>
      <c r="Y53" s="1"/>
      <c r="Z53" s="1"/>
      <c r="AA53" s="1"/>
      <c r="AB53" s="71"/>
      <c r="AC53" s="1"/>
      <c r="AD53" s="92"/>
      <c r="AE53" s="92"/>
      <c r="AF53" s="92"/>
      <c r="AG53" s="1"/>
      <c r="AH53" s="71"/>
      <c r="AI53" s="1"/>
      <c r="AJ53" s="92"/>
      <c r="AK53" s="92"/>
      <c r="AL53" s="92"/>
      <c r="AM53" s="92"/>
      <c r="AN53" s="71"/>
      <c r="AO53" s="1"/>
      <c r="AP53" s="92"/>
      <c r="AQ53" s="92"/>
      <c r="AR53" s="92"/>
      <c r="AS53" s="92"/>
      <c r="AT53" s="71"/>
      <c r="AU53" s="1"/>
      <c r="AV53" s="92"/>
      <c r="AW53" s="92"/>
      <c r="AX53" s="92"/>
      <c r="AY53" s="93"/>
      <c r="AZ53" s="93"/>
      <c r="BA53" s="93"/>
      <c r="BB53" s="93"/>
      <c r="BC53" s="93"/>
      <c r="BD53" s="93"/>
      <c r="BE53" s="93"/>
      <c r="BF53" s="93"/>
      <c r="BG53" s="71"/>
    </row>
    <row r="54" spans="1:59" ht="15.75" customHeight="1">
      <c r="A54" s="70" t="str">
        <f>AC3</f>
        <v>Tchéquia</v>
      </c>
      <c r="B54" s="71">
        <v>2</v>
      </c>
      <c r="C54" s="95" t="s">
        <v>12</v>
      </c>
      <c r="D54" s="72">
        <v>3</v>
      </c>
      <c r="E54" s="73" t="str">
        <f>AI3</f>
        <v>Bósnia e H.</v>
      </c>
      <c r="F54" s="17" t="s">
        <v>14</v>
      </c>
      <c r="G54" s="72"/>
      <c r="H54" s="1"/>
      <c r="I54" s="1"/>
      <c r="J54" s="71"/>
      <c r="K54" s="1"/>
      <c r="L54" s="1"/>
      <c r="M54" s="1"/>
      <c r="N54" s="1"/>
      <c r="O54" s="72"/>
      <c r="P54" s="1"/>
      <c r="Q54" s="1"/>
      <c r="R54" s="1"/>
      <c r="S54" s="71"/>
      <c r="T54" s="1"/>
      <c r="U54" s="71"/>
      <c r="V54" s="72"/>
      <c r="W54" s="1"/>
      <c r="X54" s="72"/>
      <c r="Y54" s="1"/>
      <c r="Z54" s="1"/>
      <c r="AA54" s="1"/>
      <c r="AB54" s="71"/>
      <c r="AC54" s="1"/>
      <c r="AD54" s="92"/>
      <c r="AE54" s="92"/>
      <c r="AF54" s="92"/>
      <c r="AG54" s="1"/>
      <c r="AH54" s="71"/>
      <c r="AI54" s="1"/>
      <c r="AJ54" s="92"/>
      <c r="AK54" s="92"/>
      <c r="AL54" s="92"/>
      <c r="AM54" s="92"/>
      <c r="AN54" s="71"/>
      <c r="AO54" s="1"/>
      <c r="AP54" s="92"/>
      <c r="AQ54" s="92"/>
      <c r="AR54" s="92"/>
      <c r="AS54" s="92"/>
      <c r="AT54" s="71"/>
      <c r="AU54" s="1"/>
      <c r="AV54" s="92"/>
      <c r="AW54" s="92"/>
      <c r="AX54" s="92"/>
      <c r="AY54" s="93"/>
      <c r="AZ54" s="93"/>
      <c r="BA54" s="93"/>
      <c r="BB54" s="93"/>
      <c r="BC54" s="93"/>
      <c r="BD54" s="93"/>
      <c r="BE54" s="93"/>
      <c r="BF54" s="93"/>
      <c r="BG54" s="71"/>
    </row>
    <row r="55" spans="1:59" ht="15.75" customHeight="1">
      <c r="A55" s="74" t="s">
        <v>156</v>
      </c>
      <c r="B55" s="71"/>
      <c r="C55" s="95" t="s">
        <v>157</v>
      </c>
      <c r="D55" s="72"/>
      <c r="E55" s="73"/>
      <c r="F55" s="72"/>
      <c r="G55" s="72"/>
      <c r="H55" s="1"/>
      <c r="I55" s="1"/>
      <c r="J55" s="71"/>
      <c r="K55" s="1"/>
      <c r="L55" s="1"/>
      <c r="M55" s="1"/>
      <c r="N55" s="1"/>
      <c r="O55" s="72"/>
      <c r="P55" s="1"/>
      <c r="Q55" s="1"/>
      <c r="R55" s="1"/>
      <c r="S55" s="71"/>
      <c r="T55" s="1"/>
      <c r="U55" s="71"/>
      <c r="V55" s="72"/>
      <c r="W55" s="1"/>
      <c r="X55" s="72"/>
      <c r="Y55" s="1"/>
      <c r="Z55" s="1"/>
      <c r="AA55" s="1"/>
      <c r="AB55" s="71"/>
      <c r="AC55" s="1"/>
      <c r="AD55" s="92"/>
      <c r="AE55" s="92"/>
      <c r="AF55" s="92"/>
      <c r="AG55" s="1"/>
      <c r="AH55" s="71"/>
      <c r="AI55" s="1"/>
      <c r="AJ55" s="92"/>
      <c r="AK55" s="92"/>
      <c r="AL55" s="92"/>
      <c r="AM55" s="92"/>
      <c r="AN55" s="71"/>
      <c r="AO55" s="1"/>
      <c r="AP55" s="92"/>
      <c r="AQ55" s="92"/>
      <c r="AR55" s="92"/>
      <c r="AS55" s="92"/>
      <c r="AT55" s="71"/>
      <c r="AU55" s="1"/>
      <c r="AV55" s="92"/>
      <c r="AW55" s="92"/>
      <c r="AX55" s="92"/>
      <c r="AY55" s="93"/>
      <c r="AZ55" s="93"/>
      <c r="BA55" s="93"/>
      <c r="BB55" s="93"/>
      <c r="BC55" s="93"/>
      <c r="BD55" s="93"/>
      <c r="BE55" s="93"/>
      <c r="BF55" s="93"/>
      <c r="BG55" s="71"/>
    </row>
    <row r="56" spans="1:59" ht="15.75" customHeight="1">
      <c r="A56" s="107" t="s">
        <v>158</v>
      </c>
      <c r="B56" s="106"/>
      <c r="C56" s="106"/>
      <c r="D56" s="106"/>
      <c r="E56" s="106"/>
      <c r="F56" s="8">
        <v>46202</v>
      </c>
      <c r="G56" s="72"/>
      <c r="H56" s="1"/>
      <c r="I56" s="1"/>
      <c r="J56" s="71"/>
      <c r="K56" s="1"/>
      <c r="L56" s="1"/>
      <c r="M56" s="1"/>
      <c r="N56" s="1"/>
      <c r="O56" s="72"/>
      <c r="P56" s="1"/>
      <c r="Q56" s="1"/>
      <c r="R56" s="1"/>
      <c r="S56" s="71"/>
      <c r="T56" s="1"/>
      <c r="U56" s="71"/>
      <c r="V56" s="72"/>
      <c r="W56" s="1"/>
      <c r="X56" s="72"/>
      <c r="Y56" s="1"/>
      <c r="Z56" s="1"/>
      <c r="AA56" s="1"/>
      <c r="AB56" s="71"/>
      <c r="AC56" s="1"/>
      <c r="AD56" s="92"/>
      <c r="AE56" s="92"/>
      <c r="AF56" s="92"/>
      <c r="AG56" s="1"/>
      <c r="AH56" s="71"/>
      <c r="AI56" s="1"/>
      <c r="AJ56" s="92"/>
      <c r="AK56" s="92"/>
      <c r="AL56" s="92"/>
      <c r="AM56" s="92"/>
      <c r="AN56" s="71"/>
      <c r="AO56" s="1"/>
      <c r="AP56" s="92"/>
      <c r="AQ56" s="92"/>
      <c r="AR56" s="92"/>
      <c r="AS56" s="92"/>
      <c r="AT56" s="71"/>
      <c r="AU56" s="1"/>
      <c r="AV56" s="92"/>
      <c r="AW56" s="92"/>
      <c r="AX56" s="92"/>
      <c r="AY56" s="93"/>
      <c r="AZ56" s="93"/>
      <c r="BA56" s="93"/>
      <c r="BB56" s="93"/>
      <c r="BC56" s="93"/>
      <c r="BD56" s="93"/>
      <c r="BE56" s="93"/>
      <c r="BF56" s="93"/>
      <c r="BG56" s="71"/>
    </row>
    <row r="57" spans="1:59" ht="15.75" customHeight="1">
      <c r="A57" s="70" t="str">
        <f>AC14</f>
        <v>Alemanha</v>
      </c>
      <c r="B57" s="71">
        <v>2</v>
      </c>
      <c r="C57" s="95" t="s">
        <v>12</v>
      </c>
      <c r="D57" s="72">
        <v>1</v>
      </c>
      <c r="E57" s="75" t="str">
        <f t="array" ref="E57">INDEX($AC$38:$AC$49, MATCH( RIGHT(INDEX(Matriz!E:E, MATCH(BI1, Matriz!J:J, 0)), 1), $AG$38:$AG$49, 0))</f>
        <v>Austrália</v>
      </c>
      <c r="F57" s="17" t="s">
        <v>159</v>
      </c>
      <c r="G57" s="72"/>
      <c r="H57" s="1"/>
      <c r="I57" s="1"/>
      <c r="J57" s="71"/>
      <c r="K57" s="1"/>
      <c r="L57" s="1"/>
      <c r="M57" s="1"/>
      <c r="N57" s="1"/>
      <c r="O57" s="72"/>
      <c r="P57" s="1"/>
      <c r="Q57" s="1"/>
      <c r="R57" s="1"/>
      <c r="S57" s="71"/>
      <c r="T57" s="1"/>
      <c r="U57" s="71"/>
      <c r="V57" s="72"/>
      <c r="W57" s="1"/>
      <c r="X57" s="72"/>
      <c r="Y57" s="1"/>
      <c r="Z57" s="1"/>
      <c r="AA57" s="1"/>
      <c r="AB57" s="71"/>
      <c r="AC57" s="1"/>
      <c r="AD57" s="92"/>
      <c r="AE57" s="92"/>
      <c r="AF57" s="92"/>
      <c r="AG57" s="1"/>
      <c r="AH57" s="71"/>
      <c r="AI57" s="1"/>
      <c r="AJ57" s="92"/>
      <c r="AK57" s="92"/>
      <c r="AL57" s="92"/>
      <c r="AM57" s="92"/>
      <c r="AN57" s="71"/>
      <c r="AO57" s="1"/>
      <c r="AP57" s="92"/>
      <c r="AQ57" s="92"/>
      <c r="AR57" s="92"/>
      <c r="AS57" s="92"/>
      <c r="AT57" s="71"/>
      <c r="AU57" s="1"/>
      <c r="AV57" s="92"/>
      <c r="AW57" s="92"/>
      <c r="AX57" s="92"/>
      <c r="AY57" s="93"/>
      <c r="AZ57" s="93"/>
      <c r="BA57" s="93"/>
      <c r="BB57" s="93"/>
      <c r="BC57" s="93"/>
      <c r="BD57" s="93"/>
      <c r="BE57" s="93"/>
      <c r="BF57" s="93"/>
      <c r="BG57" s="71"/>
    </row>
    <row r="58" spans="1:59" ht="15.75" customHeight="1">
      <c r="A58" s="74" t="s">
        <v>156</v>
      </c>
      <c r="B58" s="71"/>
      <c r="C58" s="95" t="s">
        <v>157</v>
      </c>
      <c r="D58" s="72"/>
      <c r="E58" s="73"/>
      <c r="F58" s="72"/>
      <c r="G58" s="72"/>
      <c r="H58" s="1"/>
      <c r="I58" s="1"/>
      <c r="J58" s="71"/>
      <c r="K58" s="1"/>
      <c r="L58" s="1"/>
      <c r="M58" s="1"/>
      <c r="N58" s="1"/>
      <c r="O58" s="72"/>
      <c r="P58" s="1"/>
      <c r="Q58" s="1"/>
      <c r="R58" s="1"/>
      <c r="S58" s="71"/>
      <c r="T58" s="1"/>
      <c r="U58" s="71"/>
      <c r="V58" s="72"/>
      <c r="W58" s="1"/>
      <c r="X58" s="72"/>
      <c r="Y58" s="1"/>
      <c r="Z58" s="1"/>
      <c r="AA58" s="1"/>
      <c r="AB58" s="71"/>
      <c r="AC58" s="1"/>
      <c r="AD58" s="92"/>
      <c r="AE58" s="92"/>
      <c r="AF58" s="92"/>
      <c r="AG58" s="1"/>
      <c r="AH58" s="71"/>
      <c r="AI58" s="1"/>
      <c r="AJ58" s="92"/>
      <c r="AK58" s="92"/>
      <c r="AL58" s="92"/>
      <c r="AM58" s="92"/>
      <c r="AN58" s="71"/>
      <c r="AO58" s="1"/>
      <c r="AP58" s="92"/>
      <c r="AQ58" s="92"/>
      <c r="AR58" s="92"/>
      <c r="AS58" s="92"/>
      <c r="AT58" s="71"/>
      <c r="AU58" s="1"/>
      <c r="AV58" s="92"/>
      <c r="AW58" s="92"/>
      <c r="AX58" s="92"/>
      <c r="AY58" s="93"/>
      <c r="AZ58" s="93"/>
      <c r="BA58" s="93"/>
      <c r="BB58" s="93"/>
      <c r="BC58" s="93"/>
      <c r="BD58" s="93"/>
      <c r="BE58" s="93"/>
      <c r="BF58" s="93"/>
      <c r="BG58" s="71"/>
    </row>
    <row r="59" spans="1:59" ht="15.75" customHeight="1">
      <c r="A59" s="107" t="s">
        <v>160</v>
      </c>
      <c r="B59" s="106"/>
      <c r="C59" s="106"/>
      <c r="D59" s="106"/>
      <c r="E59" s="106"/>
      <c r="F59" s="8">
        <v>46202</v>
      </c>
      <c r="G59" s="72"/>
      <c r="H59" s="1"/>
      <c r="I59" s="1"/>
      <c r="J59" s="71"/>
      <c r="K59" s="1"/>
      <c r="L59" s="1"/>
      <c r="M59" s="1"/>
      <c r="N59" s="1"/>
      <c r="O59" s="72"/>
      <c r="P59" s="1"/>
      <c r="Q59" s="1"/>
      <c r="R59" s="1"/>
      <c r="S59" s="71"/>
      <c r="T59" s="1"/>
      <c r="U59" s="71"/>
      <c r="V59" s="72"/>
      <c r="W59" s="1"/>
      <c r="X59" s="72"/>
      <c r="Y59" s="1"/>
      <c r="Z59" s="1"/>
      <c r="AA59" s="1"/>
      <c r="AB59" s="71"/>
      <c r="AC59" s="1"/>
      <c r="AD59" s="92"/>
      <c r="AE59" s="92"/>
      <c r="AF59" s="92"/>
      <c r="AG59" s="1"/>
      <c r="AH59" s="71"/>
      <c r="AI59" s="1"/>
      <c r="AJ59" s="92"/>
      <c r="AK59" s="92"/>
      <c r="AL59" s="92"/>
      <c r="AM59" s="92"/>
      <c r="AN59" s="71"/>
      <c r="AO59" s="1"/>
      <c r="AP59" s="92"/>
      <c r="AQ59" s="92"/>
      <c r="AR59" s="92"/>
      <c r="AS59" s="92"/>
      <c r="AT59" s="71"/>
      <c r="AU59" s="1"/>
      <c r="AV59" s="92"/>
      <c r="AW59" s="92"/>
      <c r="AX59" s="92"/>
      <c r="AY59" s="93"/>
      <c r="AZ59" s="93"/>
      <c r="BA59" s="93"/>
      <c r="BB59" s="93"/>
      <c r="BC59" s="93"/>
      <c r="BD59" s="93"/>
      <c r="BE59" s="93"/>
      <c r="BF59" s="93"/>
      <c r="BG59" s="71"/>
    </row>
    <row r="60" spans="1:59" ht="15.75" customHeight="1">
      <c r="A60" s="70" t="str">
        <f>AI14</f>
        <v>Holanda</v>
      </c>
      <c r="B60" s="71">
        <v>3</v>
      </c>
      <c r="C60" s="95" t="s">
        <v>12</v>
      </c>
      <c r="D60" s="72">
        <v>1</v>
      </c>
      <c r="E60" s="73" t="str">
        <f>AC9</f>
        <v>Marrocos</v>
      </c>
      <c r="F60" s="17" t="s">
        <v>39</v>
      </c>
      <c r="G60" s="72"/>
      <c r="H60" s="1"/>
      <c r="I60" s="1"/>
      <c r="J60" s="71"/>
      <c r="K60" s="1"/>
      <c r="L60" s="1"/>
      <c r="M60" s="1"/>
      <c r="N60" s="1"/>
      <c r="O60" s="72"/>
      <c r="P60" s="1"/>
      <c r="Q60" s="1"/>
      <c r="R60" s="1"/>
      <c r="S60" s="71"/>
      <c r="T60" s="1"/>
      <c r="U60" s="71"/>
      <c r="V60" s="72"/>
      <c r="W60" s="1"/>
      <c r="X60" s="72"/>
      <c r="Y60" s="1"/>
      <c r="Z60" s="1"/>
      <c r="AA60" s="1"/>
      <c r="AB60" s="71"/>
      <c r="AC60" s="1"/>
      <c r="AD60" s="92"/>
      <c r="AE60" s="92"/>
      <c r="AF60" s="92"/>
      <c r="AG60" s="1"/>
      <c r="AH60" s="71"/>
      <c r="AI60" s="1"/>
      <c r="AJ60" s="92"/>
      <c r="AK60" s="92"/>
      <c r="AL60" s="92"/>
      <c r="AM60" s="92"/>
      <c r="AN60" s="71"/>
      <c r="AO60" s="1"/>
      <c r="AP60" s="92"/>
      <c r="AQ60" s="92"/>
      <c r="AR60" s="92"/>
      <c r="AS60" s="92"/>
      <c r="AT60" s="71"/>
      <c r="AU60" s="1"/>
      <c r="AV60" s="92"/>
      <c r="AW60" s="92"/>
      <c r="AX60" s="92"/>
      <c r="AY60" s="93"/>
      <c r="AZ60" s="93"/>
      <c r="BA60" s="93"/>
      <c r="BB60" s="93"/>
      <c r="BC60" s="93"/>
      <c r="BD60" s="93"/>
      <c r="BE60" s="93"/>
      <c r="BF60" s="93"/>
      <c r="BG60" s="71"/>
    </row>
    <row r="61" spans="1:59" ht="15.75" customHeight="1">
      <c r="A61" s="74" t="s">
        <v>156</v>
      </c>
      <c r="B61" s="71"/>
      <c r="C61" s="95" t="s">
        <v>157</v>
      </c>
      <c r="D61" s="72"/>
      <c r="E61" s="73"/>
      <c r="F61" s="72"/>
      <c r="G61" s="72"/>
      <c r="H61" s="1"/>
      <c r="I61" s="1"/>
      <c r="J61" s="105" t="s">
        <v>161</v>
      </c>
      <c r="K61" s="106"/>
      <c r="L61" s="106"/>
      <c r="M61" s="106"/>
      <c r="N61" s="106"/>
      <c r="O61" s="72"/>
      <c r="P61" s="1"/>
      <c r="Q61" s="1"/>
      <c r="R61" s="1"/>
      <c r="S61" s="71"/>
      <c r="T61" s="1"/>
      <c r="U61" s="71"/>
      <c r="V61" s="72"/>
      <c r="W61" s="1"/>
      <c r="X61" s="72"/>
      <c r="Y61" s="1"/>
      <c r="Z61" s="1"/>
      <c r="AA61" s="1"/>
      <c r="AB61" s="71"/>
      <c r="AC61" s="1"/>
      <c r="AD61" s="92"/>
      <c r="AE61" s="92"/>
      <c r="AF61" s="92"/>
      <c r="AG61" s="1"/>
      <c r="AH61" s="71"/>
      <c r="AI61" s="1"/>
      <c r="AJ61" s="92"/>
      <c r="AK61" s="92"/>
      <c r="AL61" s="92"/>
      <c r="AM61" s="92"/>
      <c r="AN61" s="71"/>
      <c r="AO61" s="1"/>
      <c r="AP61" s="92"/>
      <c r="AQ61" s="92"/>
      <c r="AR61" s="92"/>
      <c r="AS61" s="92"/>
      <c r="AT61" s="71"/>
      <c r="AU61" s="1"/>
      <c r="AV61" s="92"/>
      <c r="AW61" s="92"/>
      <c r="AX61" s="92"/>
      <c r="AY61" s="93"/>
      <c r="AZ61" s="93"/>
      <c r="BA61" s="93"/>
      <c r="BB61" s="93"/>
      <c r="BC61" s="93"/>
      <c r="BD61" s="93"/>
      <c r="BE61" s="93"/>
      <c r="BF61" s="93"/>
      <c r="BG61" s="71"/>
    </row>
    <row r="62" spans="1:59" ht="15.75" customHeight="1">
      <c r="A62" s="107" t="s">
        <v>162</v>
      </c>
      <c r="B62" s="106"/>
      <c r="C62" s="106"/>
      <c r="D62" s="106"/>
      <c r="E62" s="106"/>
      <c r="F62" s="8">
        <v>46202</v>
      </c>
      <c r="G62" s="72"/>
      <c r="H62" s="1"/>
      <c r="I62" s="1"/>
      <c r="J62" s="107" t="s">
        <v>163</v>
      </c>
      <c r="K62" s="106"/>
      <c r="L62" s="106"/>
      <c r="M62" s="106"/>
      <c r="N62" s="106"/>
      <c r="O62" s="8">
        <v>46207</v>
      </c>
      <c r="P62" s="1"/>
      <c r="Q62" s="1"/>
      <c r="R62" s="1"/>
      <c r="S62" s="71"/>
      <c r="T62" s="1"/>
      <c r="U62" s="71"/>
      <c r="V62" s="72"/>
      <c r="W62" s="1"/>
      <c r="X62" s="72"/>
      <c r="Y62" s="1"/>
      <c r="Z62" s="1"/>
      <c r="AA62" s="1"/>
      <c r="AB62" s="71"/>
      <c r="AC62" s="1"/>
      <c r="AD62" s="92"/>
      <c r="AE62" s="92"/>
      <c r="AF62" s="92"/>
      <c r="AG62" s="1"/>
      <c r="AH62" s="71"/>
      <c r="AI62" s="1"/>
      <c r="AJ62" s="92"/>
      <c r="AK62" s="92"/>
      <c r="AL62" s="92"/>
      <c r="AM62" s="92"/>
      <c r="AN62" s="71"/>
      <c r="AO62" s="1"/>
      <c r="AP62" s="92"/>
      <c r="AQ62" s="92"/>
      <c r="AR62" s="92"/>
      <c r="AS62" s="92"/>
      <c r="AT62" s="71"/>
      <c r="AU62" s="1"/>
      <c r="AV62" s="92"/>
      <c r="AW62" s="92"/>
      <c r="AX62" s="92"/>
      <c r="AY62" s="93"/>
      <c r="AZ62" s="93"/>
      <c r="BA62" s="93"/>
      <c r="BB62" s="93"/>
      <c r="BC62" s="93"/>
      <c r="BD62" s="93"/>
      <c r="BE62" s="93"/>
      <c r="BF62" s="93"/>
      <c r="BG62" s="71"/>
    </row>
    <row r="63" spans="1:59" ht="15.75" customHeight="1">
      <c r="A63" s="70" t="str">
        <f>AC8</f>
        <v>Brasil</v>
      </c>
      <c r="B63" s="71">
        <v>2</v>
      </c>
      <c r="C63" s="95" t="s">
        <v>12</v>
      </c>
      <c r="D63" s="72">
        <v>1</v>
      </c>
      <c r="E63" s="73" t="str">
        <f>AI15</f>
        <v>Japão</v>
      </c>
      <c r="F63" s="17" t="s">
        <v>69</v>
      </c>
      <c r="G63" s="72"/>
      <c r="H63" s="1"/>
      <c r="I63" s="1"/>
      <c r="J63" s="70" t="str">
        <f>IF(B57 = "", "", IF(B57 &gt; D57, A57, IF(D57 &gt; B57, E57, IF(D58 &gt; B58, E57, A57))))</f>
        <v>Alemanha</v>
      </c>
      <c r="K63" s="76">
        <v>1</v>
      </c>
      <c r="L63" s="95" t="s">
        <v>12</v>
      </c>
      <c r="M63" s="76">
        <v>1</v>
      </c>
      <c r="N63" s="73" t="str">
        <f>IF(B66 = "", "", IF(B66 &gt; D66, A66, IF(D66 &gt; B66, E66, IF(D67 &gt; B67, E66, A66))))</f>
        <v>França</v>
      </c>
      <c r="O63" s="17" t="s">
        <v>123</v>
      </c>
      <c r="P63" s="1"/>
      <c r="Q63" s="1"/>
      <c r="R63" s="1"/>
      <c r="S63" s="71"/>
      <c r="T63" s="1"/>
      <c r="U63" s="71"/>
      <c r="V63" s="72"/>
      <c r="W63" s="1"/>
      <c r="X63" s="72"/>
      <c r="Y63" s="1"/>
      <c r="Z63" s="1"/>
      <c r="AA63" s="1"/>
      <c r="AB63" s="71"/>
      <c r="AC63" s="1"/>
      <c r="AD63" s="92"/>
      <c r="AE63" s="92"/>
      <c r="AF63" s="92"/>
      <c r="AG63" s="1"/>
      <c r="AH63" s="71"/>
      <c r="AI63" s="1"/>
      <c r="AJ63" s="92"/>
      <c r="AK63" s="92"/>
      <c r="AL63" s="92"/>
      <c r="AM63" s="92"/>
      <c r="AN63" s="71"/>
      <c r="AO63" s="1"/>
      <c r="AP63" s="92"/>
      <c r="AQ63" s="92"/>
      <c r="AR63" s="92"/>
      <c r="AS63" s="92"/>
      <c r="AT63" s="71"/>
      <c r="AU63" s="1"/>
      <c r="AV63" s="92"/>
      <c r="AW63" s="92"/>
      <c r="AX63" s="92"/>
      <c r="AY63" s="93"/>
      <c r="AZ63" s="93"/>
      <c r="BA63" s="93"/>
      <c r="BB63" s="93"/>
      <c r="BC63" s="93"/>
      <c r="BD63" s="93"/>
      <c r="BE63" s="93"/>
      <c r="BF63" s="93"/>
      <c r="BG63" s="71"/>
    </row>
    <row r="64" spans="1:59" ht="15.75" customHeight="1">
      <c r="A64" s="74" t="s">
        <v>156</v>
      </c>
      <c r="B64" s="71"/>
      <c r="C64" s="95" t="s">
        <v>157</v>
      </c>
      <c r="D64" s="72"/>
      <c r="E64" s="73"/>
      <c r="F64" s="72"/>
      <c r="G64" s="72"/>
      <c r="H64" s="1"/>
      <c r="I64" s="1"/>
      <c r="J64" s="74" t="s">
        <v>156</v>
      </c>
      <c r="K64" s="76">
        <v>5</v>
      </c>
      <c r="L64" s="95" t="s">
        <v>157</v>
      </c>
      <c r="M64" s="76">
        <v>4</v>
      </c>
      <c r="N64" s="73"/>
      <c r="O64" s="72"/>
      <c r="P64" s="1"/>
      <c r="Q64" s="1"/>
      <c r="R64" s="1"/>
      <c r="S64" s="71"/>
      <c r="T64" s="1"/>
      <c r="U64" s="71"/>
      <c r="V64" s="72"/>
      <c r="W64" s="1"/>
      <c r="X64" s="72"/>
      <c r="Y64" s="1"/>
      <c r="Z64" s="1"/>
      <c r="AA64" s="1"/>
      <c r="AB64" s="71"/>
      <c r="AC64" s="1"/>
      <c r="AD64" s="92"/>
      <c r="AE64" s="92"/>
      <c r="AF64" s="92"/>
      <c r="AG64" s="1"/>
      <c r="AH64" s="71"/>
      <c r="AI64" s="1"/>
      <c r="AJ64" s="92"/>
      <c r="AK64" s="92"/>
      <c r="AL64" s="92"/>
      <c r="AM64" s="92"/>
      <c r="AN64" s="71"/>
      <c r="AO64" s="1"/>
      <c r="AP64" s="92"/>
      <c r="AQ64" s="92"/>
      <c r="AR64" s="92"/>
      <c r="AS64" s="92"/>
      <c r="AT64" s="71"/>
      <c r="AU64" s="1"/>
      <c r="AV64" s="92"/>
      <c r="AW64" s="92"/>
      <c r="AX64" s="92"/>
      <c r="AY64" s="93"/>
      <c r="AZ64" s="93"/>
      <c r="BA64" s="93"/>
      <c r="BB64" s="93"/>
      <c r="BC64" s="93"/>
      <c r="BD64" s="93"/>
      <c r="BE64" s="93"/>
      <c r="BF64" s="93"/>
      <c r="BG64" s="71"/>
    </row>
    <row r="65" spans="1:60" ht="15.75" customHeight="1">
      <c r="A65" s="107" t="s">
        <v>164</v>
      </c>
      <c r="B65" s="106"/>
      <c r="C65" s="106"/>
      <c r="D65" s="106"/>
      <c r="E65" s="106"/>
      <c r="F65" s="8">
        <v>46203</v>
      </c>
      <c r="G65" s="72"/>
      <c r="H65" s="1"/>
      <c r="I65" s="1"/>
      <c r="J65" s="107" t="s">
        <v>165</v>
      </c>
      <c r="K65" s="106"/>
      <c r="L65" s="106"/>
      <c r="M65" s="106"/>
      <c r="N65" s="106"/>
      <c r="O65" s="8">
        <v>46207</v>
      </c>
      <c r="P65" s="1"/>
      <c r="Q65" s="1"/>
      <c r="R65" s="1"/>
      <c r="S65" s="71"/>
      <c r="T65" s="1"/>
      <c r="U65" s="71"/>
      <c r="V65" s="72"/>
      <c r="W65" s="1"/>
      <c r="X65" s="72"/>
      <c r="Y65" s="1"/>
      <c r="Z65" s="1"/>
      <c r="AA65" s="1"/>
      <c r="AB65" s="71"/>
      <c r="AC65" s="1"/>
      <c r="AD65" s="92"/>
      <c r="AE65" s="92"/>
      <c r="AF65" s="92"/>
      <c r="AG65" s="1"/>
      <c r="AH65" s="71"/>
      <c r="AI65" s="1"/>
      <c r="AJ65" s="92"/>
      <c r="AK65" s="92"/>
      <c r="AL65" s="92"/>
      <c r="AM65" s="92"/>
      <c r="AN65" s="71"/>
      <c r="AO65" s="1"/>
      <c r="AP65" s="92"/>
      <c r="AQ65" s="92"/>
      <c r="AR65" s="92"/>
      <c r="AS65" s="92"/>
      <c r="AT65" s="71"/>
      <c r="AU65" s="1"/>
      <c r="AV65" s="92"/>
      <c r="AW65" s="92"/>
      <c r="AX65" s="92"/>
      <c r="AY65" s="1"/>
      <c r="AZ65" s="1"/>
      <c r="BA65" s="1"/>
      <c r="BB65" s="1"/>
      <c r="BC65" s="1"/>
      <c r="BD65" s="1"/>
      <c r="BE65" s="1"/>
      <c r="BF65" s="1"/>
      <c r="BG65" s="71"/>
      <c r="BH65" s="1"/>
    </row>
    <row r="66" spans="1:60" ht="15.75" customHeight="1">
      <c r="A66" s="70" t="str">
        <f>AC26</f>
        <v>França</v>
      </c>
      <c r="B66" s="71">
        <v>2</v>
      </c>
      <c r="C66" s="95" t="s">
        <v>12</v>
      </c>
      <c r="D66" s="72">
        <v>1</v>
      </c>
      <c r="E66" s="73" t="str">
        <f t="array" ref="E66">INDEX($AC$38:$AC$49, MATCH( RIGHT(INDEX(Matriz!G:G, MATCH(BI1, Matriz!J:J, 0)), 1), $AG$38:$AG$49, 0))</f>
        <v>Tunísia</v>
      </c>
      <c r="F66" s="17" t="s">
        <v>123</v>
      </c>
      <c r="G66" s="72"/>
      <c r="H66" s="1"/>
      <c r="I66" s="1"/>
      <c r="J66" s="70" t="str">
        <f>IF(B54 = "", "", IF(B54 &gt; D54, A54, IF(D54 &gt; B54, E54, IF(D55 &gt; B55, E54, A54))))</f>
        <v>Bósnia e H.</v>
      </c>
      <c r="K66" s="76">
        <v>1</v>
      </c>
      <c r="L66" s="95" t="s">
        <v>12</v>
      </c>
      <c r="M66" s="76">
        <v>1</v>
      </c>
      <c r="N66" s="73" t="str">
        <f>IF(B60 = "", "", IF(B60 &gt; D60, A60, IF(D60 &gt; B60, E60, IF(D61 &gt; B61, E60, A60))))</f>
        <v>Holanda</v>
      </c>
      <c r="O66" s="17" t="s">
        <v>69</v>
      </c>
      <c r="P66" s="1"/>
      <c r="Q66" s="1"/>
      <c r="R66" s="1"/>
      <c r="S66" s="71"/>
      <c r="T66" s="1"/>
      <c r="U66" s="71"/>
      <c r="V66" s="72"/>
      <c r="W66" s="1"/>
      <c r="X66" s="72"/>
      <c r="Y66" s="1"/>
      <c r="Z66" s="1"/>
      <c r="AA66" s="1"/>
      <c r="AB66" s="71"/>
      <c r="AC66" s="1"/>
      <c r="AD66" s="92"/>
      <c r="AE66" s="92"/>
      <c r="AF66" s="92"/>
      <c r="AG66" s="1"/>
      <c r="AH66" s="71"/>
      <c r="AI66" s="1"/>
      <c r="AJ66" s="92"/>
      <c r="AK66" s="92"/>
      <c r="AL66" s="92"/>
      <c r="AM66" s="92"/>
      <c r="AN66" s="71"/>
      <c r="AO66" s="1"/>
      <c r="AP66" s="92"/>
      <c r="AQ66" s="92"/>
      <c r="AR66" s="92"/>
      <c r="AS66" s="92"/>
      <c r="AT66" s="71"/>
      <c r="AU66" s="1"/>
      <c r="AV66" s="92"/>
      <c r="AW66" s="92"/>
      <c r="AX66" s="92"/>
      <c r="AY66" s="1"/>
      <c r="AZ66" s="1"/>
      <c r="BA66" s="1"/>
      <c r="BB66" s="1"/>
      <c r="BC66" s="1"/>
      <c r="BD66" s="1"/>
      <c r="BE66" s="1"/>
      <c r="BF66" s="1"/>
      <c r="BG66" s="71"/>
      <c r="BH66" s="1"/>
    </row>
    <row r="67" spans="1:60" ht="15.75" customHeight="1">
      <c r="A67" s="74" t="s">
        <v>156</v>
      </c>
      <c r="B67" s="71"/>
      <c r="C67" s="95" t="s">
        <v>157</v>
      </c>
      <c r="D67" s="72"/>
      <c r="E67" s="73"/>
      <c r="F67" s="72"/>
      <c r="G67" s="72"/>
      <c r="H67" s="1"/>
      <c r="I67" s="1"/>
      <c r="J67" s="74" t="s">
        <v>156</v>
      </c>
      <c r="K67" s="76">
        <v>5</v>
      </c>
      <c r="L67" s="95" t="s">
        <v>157</v>
      </c>
      <c r="M67" s="76">
        <v>3</v>
      </c>
      <c r="N67" s="73"/>
      <c r="O67" s="72"/>
      <c r="P67" s="1"/>
      <c r="Q67" s="1"/>
      <c r="R67" s="1"/>
      <c r="S67" s="71"/>
      <c r="T67" s="1"/>
      <c r="U67" s="71"/>
      <c r="V67" s="72"/>
      <c r="W67" s="1"/>
      <c r="X67" s="72"/>
      <c r="Y67" s="1"/>
      <c r="Z67" s="1"/>
      <c r="AA67" s="1"/>
      <c r="AB67" s="71"/>
      <c r="AC67" s="1"/>
      <c r="AD67" s="92"/>
      <c r="AE67" s="92"/>
      <c r="AF67" s="92"/>
      <c r="AG67" s="1"/>
      <c r="AH67" s="71"/>
      <c r="AI67" s="1"/>
      <c r="AJ67" s="92"/>
      <c r="AK67" s="92"/>
      <c r="AL67" s="92"/>
      <c r="AM67" s="92"/>
      <c r="AN67" s="71"/>
      <c r="AO67" s="1"/>
      <c r="AP67" s="92"/>
      <c r="AQ67" s="92"/>
      <c r="AR67" s="92"/>
      <c r="AS67" s="92"/>
      <c r="AT67" s="71"/>
      <c r="AU67" s="1"/>
      <c r="AV67" s="92"/>
      <c r="AW67" s="92"/>
      <c r="AX67" s="92"/>
      <c r="AY67" s="1"/>
      <c r="AZ67" s="1"/>
      <c r="BA67" s="1"/>
      <c r="BB67" s="1"/>
      <c r="BC67" s="1"/>
      <c r="BD67" s="1"/>
      <c r="BE67" s="1"/>
      <c r="BF67" s="1"/>
      <c r="BG67" s="71"/>
      <c r="BH67" s="1"/>
    </row>
    <row r="68" spans="1:60" ht="15.75" customHeight="1">
      <c r="A68" s="107" t="s">
        <v>166</v>
      </c>
      <c r="B68" s="106"/>
      <c r="C68" s="106"/>
      <c r="D68" s="106"/>
      <c r="E68" s="106"/>
      <c r="F68" s="8">
        <v>46203</v>
      </c>
      <c r="G68" s="72"/>
      <c r="H68" s="1"/>
      <c r="I68" s="1"/>
      <c r="J68" s="107" t="s">
        <v>167</v>
      </c>
      <c r="K68" s="106"/>
      <c r="L68" s="106"/>
      <c r="M68" s="106"/>
      <c r="N68" s="106"/>
      <c r="O68" s="8">
        <v>46208</v>
      </c>
      <c r="P68" s="1"/>
      <c r="Q68" s="1"/>
      <c r="R68" s="1"/>
      <c r="S68" s="71"/>
      <c r="T68" s="1"/>
      <c r="U68" s="71"/>
      <c r="V68" s="72"/>
      <c r="W68" s="1"/>
      <c r="X68" s="72"/>
      <c r="Y68" s="1"/>
      <c r="Z68" s="1"/>
      <c r="AA68" s="1"/>
      <c r="AB68" s="71"/>
      <c r="AC68" s="1"/>
      <c r="AD68" s="92"/>
      <c r="AE68" s="92"/>
      <c r="AF68" s="92"/>
      <c r="AG68" s="1"/>
      <c r="AH68" s="71"/>
      <c r="AI68" s="1"/>
      <c r="AJ68" s="92"/>
      <c r="AK68" s="92"/>
      <c r="AL68" s="92"/>
      <c r="AM68" s="92"/>
      <c r="AN68" s="71"/>
      <c r="AO68" s="1"/>
      <c r="AP68" s="92"/>
      <c r="AQ68" s="92"/>
      <c r="AR68" s="92"/>
      <c r="AS68" s="92"/>
      <c r="AT68" s="71"/>
      <c r="AU68" s="1"/>
      <c r="AV68" s="92"/>
      <c r="AW68" s="92"/>
      <c r="AX68" s="92"/>
      <c r="AY68" s="1"/>
      <c r="AZ68" s="1"/>
      <c r="BA68" s="1"/>
      <c r="BB68" s="1"/>
      <c r="BC68" s="1"/>
      <c r="BD68" s="1"/>
      <c r="BE68" s="1"/>
      <c r="BF68" s="1"/>
      <c r="BG68" s="71"/>
      <c r="BH68" s="1"/>
    </row>
    <row r="69" spans="1:60" ht="15.75" customHeight="1">
      <c r="A69" s="70" t="str">
        <f>AC15</f>
        <v>Equador</v>
      </c>
      <c r="B69" s="71">
        <v>2</v>
      </c>
      <c r="C69" s="95" t="s">
        <v>12</v>
      </c>
      <c r="D69" s="72">
        <v>1</v>
      </c>
      <c r="E69" s="73" t="str">
        <f>AC27</f>
        <v>Iraque</v>
      </c>
      <c r="F69" s="17" t="s">
        <v>69</v>
      </c>
      <c r="G69" s="72"/>
      <c r="H69" s="1"/>
      <c r="I69" s="1"/>
      <c r="J69" s="70" t="str">
        <f>IF(B63 = "", "", IF(B63 &gt; D63, A63, IF(D63 &gt; B63, E63, IF(D64 &gt; B64, E63, A63))))</f>
        <v>Brasil</v>
      </c>
      <c r="K69" s="76">
        <v>2</v>
      </c>
      <c r="L69" s="95" t="s">
        <v>12</v>
      </c>
      <c r="M69" s="76">
        <v>1</v>
      </c>
      <c r="N69" s="73" t="str">
        <f>IF(B69 = "", "", IF(B69 &gt; D69, A69, IF(D69 &gt; B69, E69, IF(D70 &gt; B70, E69, A69))))</f>
        <v>Equador</v>
      </c>
      <c r="O69" s="17" t="s">
        <v>57</v>
      </c>
      <c r="P69" s="1"/>
      <c r="Q69" s="1"/>
      <c r="R69" s="1"/>
      <c r="S69" s="71"/>
      <c r="T69" s="1"/>
      <c r="U69" s="71"/>
      <c r="V69" s="72"/>
      <c r="W69" s="1"/>
      <c r="X69" s="72"/>
      <c r="Y69" s="1"/>
      <c r="Z69" s="1"/>
      <c r="AA69" s="1"/>
      <c r="AB69" s="71"/>
      <c r="AC69" s="1"/>
      <c r="AD69" s="92"/>
      <c r="AE69" s="92"/>
      <c r="AF69" s="92"/>
      <c r="AG69" s="1"/>
      <c r="AH69" s="71"/>
      <c r="AI69" s="1"/>
      <c r="AJ69" s="92"/>
      <c r="AK69" s="92"/>
      <c r="AL69" s="92"/>
      <c r="AM69" s="92"/>
      <c r="AN69" s="71"/>
      <c r="AO69" s="1"/>
      <c r="AP69" s="92"/>
      <c r="AQ69" s="92"/>
      <c r="AR69" s="92"/>
      <c r="AS69" s="92"/>
      <c r="AT69" s="71"/>
      <c r="AU69" s="1"/>
      <c r="AV69" s="92"/>
      <c r="AW69" s="92"/>
      <c r="AX69" s="92"/>
      <c r="AY69" s="1"/>
      <c r="AZ69" s="1"/>
      <c r="BA69" s="1"/>
      <c r="BB69" s="1"/>
      <c r="BC69" s="1"/>
      <c r="BD69" s="1"/>
      <c r="BE69" s="1"/>
      <c r="BF69" s="1"/>
      <c r="BG69" s="71"/>
      <c r="BH69" s="1"/>
    </row>
    <row r="70" spans="1:60" ht="15.75" customHeight="1">
      <c r="A70" s="74" t="s">
        <v>156</v>
      </c>
      <c r="B70" s="71"/>
      <c r="C70" s="95" t="s">
        <v>157</v>
      </c>
      <c r="D70" s="72"/>
      <c r="E70" s="73"/>
      <c r="F70" s="72"/>
      <c r="G70" s="72"/>
      <c r="H70" s="1"/>
      <c r="I70" s="1"/>
      <c r="J70" s="74" t="s">
        <v>156</v>
      </c>
      <c r="K70" s="1"/>
      <c r="L70" s="95" t="s">
        <v>157</v>
      </c>
      <c r="M70" s="1"/>
      <c r="N70" s="73"/>
      <c r="O70" s="72"/>
      <c r="P70" s="1"/>
      <c r="Q70" s="1"/>
      <c r="R70" s="1"/>
      <c r="S70" s="71"/>
      <c r="T70" s="1"/>
      <c r="U70" s="71"/>
      <c r="V70" s="72"/>
      <c r="W70" s="1"/>
      <c r="X70" s="72"/>
      <c r="Y70" s="1"/>
      <c r="Z70" s="1"/>
      <c r="AA70" s="1"/>
      <c r="AB70" s="71"/>
      <c r="AC70" s="1"/>
      <c r="AD70" s="92"/>
      <c r="AE70" s="92"/>
      <c r="AF70" s="92"/>
      <c r="AG70" s="1"/>
      <c r="AH70" s="71"/>
      <c r="AI70" s="1"/>
      <c r="AJ70" s="92"/>
      <c r="AK70" s="92"/>
      <c r="AL70" s="92"/>
      <c r="AM70" s="92"/>
      <c r="AN70" s="71"/>
      <c r="AO70" s="1"/>
      <c r="AP70" s="92"/>
      <c r="AQ70" s="92"/>
      <c r="AR70" s="92"/>
      <c r="AS70" s="92"/>
      <c r="AT70" s="71"/>
      <c r="AU70" s="1"/>
      <c r="AV70" s="92"/>
      <c r="AW70" s="92"/>
      <c r="AX70" s="92"/>
      <c r="AY70" s="1"/>
      <c r="AZ70" s="1"/>
      <c r="BA70" s="1"/>
      <c r="BB70" s="1"/>
      <c r="BC70" s="1"/>
      <c r="BD70" s="1"/>
      <c r="BE70" s="1"/>
      <c r="BF70" s="1"/>
      <c r="BG70" s="71"/>
      <c r="BH70" s="1"/>
    </row>
    <row r="71" spans="1:60" ht="15.75" customHeight="1">
      <c r="A71" s="107" t="s">
        <v>168</v>
      </c>
      <c r="B71" s="106"/>
      <c r="C71" s="106"/>
      <c r="D71" s="106"/>
      <c r="E71" s="106"/>
      <c r="F71" s="8">
        <v>46203</v>
      </c>
      <c r="G71" s="72"/>
      <c r="H71" s="1"/>
      <c r="I71" s="1"/>
      <c r="J71" s="107" t="s">
        <v>169</v>
      </c>
      <c r="K71" s="106"/>
      <c r="L71" s="106"/>
      <c r="M71" s="106"/>
      <c r="N71" s="106"/>
      <c r="O71" s="8">
        <v>46208</v>
      </c>
      <c r="P71" s="1"/>
      <c r="Q71" s="1"/>
      <c r="R71" s="1"/>
      <c r="S71" s="71"/>
      <c r="T71" s="1"/>
      <c r="U71" s="71"/>
      <c r="V71" s="72"/>
      <c r="W71" s="1"/>
      <c r="X71" s="72"/>
      <c r="Y71" s="1"/>
      <c r="Z71" s="1"/>
      <c r="AA71" s="1"/>
      <c r="AB71" s="71"/>
      <c r="AC71" s="1"/>
      <c r="AD71" s="92"/>
      <c r="AE71" s="92"/>
      <c r="AF71" s="92"/>
      <c r="AG71" s="1"/>
      <c r="AH71" s="71"/>
      <c r="AI71" s="1"/>
      <c r="AJ71" s="92"/>
      <c r="AK71" s="92"/>
      <c r="AL71" s="92"/>
      <c r="AM71" s="92"/>
      <c r="AN71" s="71"/>
      <c r="AO71" s="1"/>
      <c r="AP71" s="92"/>
      <c r="AQ71" s="92"/>
      <c r="AR71" s="92"/>
      <c r="AS71" s="92"/>
      <c r="AT71" s="71"/>
      <c r="AU71" s="1"/>
      <c r="AV71" s="92"/>
      <c r="AW71" s="92"/>
      <c r="AX71" s="92"/>
      <c r="AY71" s="1"/>
      <c r="AZ71" s="1"/>
      <c r="BA71" s="1"/>
      <c r="BB71" s="1"/>
      <c r="BC71" s="1"/>
      <c r="BD71" s="1"/>
      <c r="BE71" s="1"/>
      <c r="BF71" s="1"/>
      <c r="BG71" s="71"/>
      <c r="BH71" s="1"/>
    </row>
    <row r="72" spans="1:60" ht="15.75" customHeight="1">
      <c r="A72" s="70" t="str">
        <f>AC2</f>
        <v>México</v>
      </c>
      <c r="B72" s="71">
        <v>2</v>
      </c>
      <c r="C72" s="95" t="s">
        <v>12</v>
      </c>
      <c r="D72" s="72">
        <v>0</v>
      </c>
      <c r="E72" s="73" t="str">
        <f t="array" ref="E72">INDEX($AC$38:$AC$49, MATCH( RIGHT(INDEX(Matriz!B:B, MATCH(BI1, Matriz!J:J, 0)), 1), $AG$38:$AG$49, 0))</f>
        <v>Escócia</v>
      </c>
      <c r="F72" s="17" t="s">
        <v>39</v>
      </c>
      <c r="G72" s="72"/>
      <c r="H72" s="1"/>
      <c r="I72" s="1"/>
      <c r="J72" s="70" t="str">
        <f>IF(B72 = "", "", IF(B72 &gt; D72, A72, IF(D72 &gt; B72, E72, IF(D73 &gt; B73, E72, A72))))</f>
        <v>México</v>
      </c>
      <c r="K72" s="76">
        <v>2</v>
      </c>
      <c r="L72" s="95" t="s">
        <v>12</v>
      </c>
      <c r="M72" s="76">
        <v>1</v>
      </c>
      <c r="N72" s="73" t="str">
        <f>IF(B75 = "", "", IF(B75 &gt; D75, A75, IF(D75 &gt; B75, E75, IF(D76 &gt; B76, E75, A75))))</f>
        <v>Croácia</v>
      </c>
      <c r="O72" s="17" t="s">
        <v>83</v>
      </c>
      <c r="P72" s="1"/>
      <c r="Q72" s="1"/>
      <c r="R72" s="1"/>
      <c r="S72" s="71"/>
      <c r="T72" s="1"/>
      <c r="U72" s="71"/>
      <c r="V72" s="72"/>
      <c r="W72" s="1"/>
      <c r="X72" s="72"/>
      <c r="Y72" s="1"/>
      <c r="Z72" s="1"/>
      <c r="AA72" s="1"/>
      <c r="AB72" s="71"/>
      <c r="AC72" s="1"/>
      <c r="AD72" s="92"/>
      <c r="AE72" s="92"/>
      <c r="AF72" s="92"/>
      <c r="AG72" s="1"/>
      <c r="AH72" s="71"/>
      <c r="AI72" s="1"/>
      <c r="AJ72" s="92"/>
      <c r="AK72" s="92"/>
      <c r="AL72" s="92"/>
      <c r="AM72" s="92"/>
      <c r="AN72" s="71"/>
      <c r="AO72" s="1"/>
      <c r="AP72" s="92"/>
      <c r="AQ72" s="92"/>
      <c r="AR72" s="92"/>
      <c r="AS72" s="92"/>
      <c r="AT72" s="71"/>
      <c r="AU72" s="1"/>
      <c r="AV72" s="92"/>
      <c r="AW72" s="92"/>
      <c r="AX72" s="92"/>
      <c r="AY72" s="1"/>
      <c r="AZ72" s="1"/>
      <c r="BA72" s="1"/>
      <c r="BB72" s="1"/>
      <c r="BC72" s="1"/>
      <c r="BD72" s="1"/>
      <c r="BE72" s="1"/>
      <c r="BF72" s="1"/>
      <c r="BG72" s="71"/>
      <c r="BH72" s="1"/>
    </row>
    <row r="73" spans="1:60" ht="15.75" customHeight="1">
      <c r="A73" s="74" t="s">
        <v>156</v>
      </c>
      <c r="B73" s="71"/>
      <c r="C73" s="95" t="s">
        <v>157</v>
      </c>
      <c r="D73" s="72"/>
      <c r="E73" s="73"/>
      <c r="F73" s="72"/>
      <c r="G73" s="72"/>
      <c r="H73" s="1"/>
      <c r="I73" s="1"/>
      <c r="J73" s="74" t="s">
        <v>156</v>
      </c>
      <c r="K73" s="1"/>
      <c r="L73" s="95" t="s">
        <v>157</v>
      </c>
      <c r="M73" s="1"/>
      <c r="N73" s="73"/>
      <c r="O73" s="72"/>
      <c r="P73" s="1"/>
      <c r="Q73" s="1"/>
      <c r="R73" s="1"/>
      <c r="S73" s="71"/>
      <c r="T73" s="1"/>
      <c r="U73" s="71"/>
      <c r="V73" s="72"/>
      <c r="W73" s="1"/>
      <c r="X73" s="72"/>
      <c r="Y73" s="1"/>
      <c r="Z73" s="1"/>
      <c r="AA73" s="1"/>
      <c r="AB73" s="71"/>
      <c r="AC73" s="1"/>
      <c r="AD73" s="92"/>
      <c r="AE73" s="92"/>
      <c r="AF73" s="92"/>
      <c r="AG73" s="1"/>
      <c r="AH73" s="71"/>
      <c r="AI73" s="1"/>
      <c r="AJ73" s="92"/>
      <c r="AK73" s="92"/>
      <c r="AL73" s="92"/>
      <c r="AM73" s="92"/>
      <c r="AN73" s="71"/>
      <c r="AO73" s="1"/>
      <c r="AP73" s="92"/>
      <c r="AQ73" s="92"/>
      <c r="AR73" s="92"/>
      <c r="AS73" s="92"/>
      <c r="AT73" s="71"/>
      <c r="AU73" s="1"/>
      <c r="AV73" s="92"/>
      <c r="AW73" s="92"/>
      <c r="AX73" s="92"/>
      <c r="AY73" s="1"/>
      <c r="AZ73" s="1"/>
      <c r="BA73" s="1"/>
      <c r="BB73" s="1"/>
      <c r="BC73" s="1"/>
      <c r="BD73" s="1"/>
      <c r="BE73" s="1"/>
      <c r="BF73" s="1"/>
      <c r="BG73" s="71"/>
      <c r="BH73" s="1"/>
    </row>
    <row r="74" spans="1:60" ht="15.75" customHeight="1">
      <c r="A74" s="107" t="s">
        <v>170</v>
      </c>
      <c r="B74" s="106"/>
      <c r="C74" s="106"/>
      <c r="D74" s="106"/>
      <c r="E74" s="106"/>
      <c r="F74" s="8">
        <v>46204</v>
      </c>
      <c r="G74" s="72"/>
      <c r="H74" s="1"/>
      <c r="I74" s="1"/>
      <c r="J74" s="107" t="s">
        <v>171</v>
      </c>
      <c r="K74" s="106"/>
      <c r="L74" s="106"/>
      <c r="M74" s="106"/>
      <c r="N74" s="106"/>
      <c r="O74" s="8">
        <v>46209</v>
      </c>
      <c r="P74" s="1"/>
      <c r="Q74" s="1"/>
      <c r="R74" s="1"/>
      <c r="S74" s="71"/>
      <c r="T74" s="1"/>
      <c r="U74" s="71"/>
      <c r="V74" s="72"/>
      <c r="W74" s="1"/>
      <c r="X74" s="72"/>
      <c r="Y74" s="1"/>
      <c r="Z74" s="1"/>
      <c r="AA74" s="1"/>
      <c r="AB74" s="71"/>
      <c r="AC74" s="1"/>
      <c r="AD74" s="92"/>
      <c r="AE74" s="92"/>
      <c r="AF74" s="92"/>
      <c r="AG74" s="1"/>
      <c r="AH74" s="71"/>
      <c r="AI74" s="1"/>
      <c r="AJ74" s="92"/>
      <c r="AK74" s="92"/>
      <c r="AL74" s="92"/>
      <c r="AM74" s="92"/>
      <c r="AN74" s="71"/>
      <c r="AO74" s="1"/>
      <c r="AP74" s="92"/>
      <c r="AQ74" s="92"/>
      <c r="AR74" s="92"/>
      <c r="AS74" s="92"/>
      <c r="AT74" s="71"/>
      <c r="AU74" s="1"/>
      <c r="AV74" s="92"/>
      <c r="AW74" s="92"/>
      <c r="AX74" s="92"/>
      <c r="AY74" s="1"/>
      <c r="AZ74" s="1"/>
      <c r="BA74" s="1"/>
      <c r="BB74" s="1"/>
      <c r="BC74" s="1"/>
      <c r="BD74" s="1"/>
      <c r="BE74" s="1"/>
      <c r="BF74" s="1"/>
      <c r="BG74" s="71"/>
      <c r="BH74" s="1"/>
    </row>
    <row r="75" spans="1:60" ht="15.75" customHeight="1">
      <c r="A75" s="70" t="str">
        <f>AI32</f>
        <v>Croácia</v>
      </c>
      <c r="B75" s="71">
        <v>1</v>
      </c>
      <c r="C75" s="95" t="s">
        <v>12</v>
      </c>
      <c r="D75" s="72">
        <v>0</v>
      </c>
      <c r="E75" s="73" t="str">
        <f t="array" ref="E75">INDEX($AC$38:$AC$49, MATCH( RIGHT(INDEX(Matriz!I:I, MATCH(BI1, Matriz!J:J, 0)), 1), $AG$38:$AG$49, 0))</f>
        <v>Uzbequistão</v>
      </c>
      <c r="F75" s="17" t="s">
        <v>16</v>
      </c>
      <c r="G75" s="72"/>
      <c r="H75" s="1"/>
      <c r="I75" s="1"/>
      <c r="J75" s="70" t="str">
        <f>IF(B84 = "", "", IF(B84 &gt; D84, A84, IF(D84 &gt; B84, E84, IF(D85 &gt; B85, E84, A84))))</f>
        <v>Colômbia</v>
      </c>
      <c r="K75" s="76">
        <v>0</v>
      </c>
      <c r="L75" s="95" t="s">
        <v>12</v>
      </c>
      <c r="M75" s="76">
        <v>3</v>
      </c>
      <c r="N75" s="73" t="str">
        <f>IF(B87 = "", "", IF(B87 &gt; D87, A87, IF(D87 &gt; B87, E87, IF(D88 &gt; B88, E87, A87))))</f>
        <v>Argentina</v>
      </c>
      <c r="O75" s="17" t="s">
        <v>14</v>
      </c>
      <c r="P75" s="1"/>
      <c r="Q75" s="1"/>
      <c r="R75" s="1"/>
      <c r="S75" s="71"/>
      <c r="T75" s="1"/>
      <c r="U75" s="71"/>
      <c r="V75" s="72"/>
      <c r="W75" s="1"/>
      <c r="X75" s="72"/>
      <c r="Y75" s="1"/>
      <c r="Z75" s="1"/>
      <c r="AA75" s="1"/>
      <c r="AB75" s="71"/>
      <c r="AC75" s="1"/>
      <c r="AD75" s="92"/>
      <c r="AE75" s="92"/>
      <c r="AF75" s="92"/>
      <c r="AG75" s="1"/>
      <c r="AH75" s="71"/>
      <c r="AI75" s="1"/>
      <c r="AJ75" s="92"/>
      <c r="AK75" s="92"/>
      <c r="AL75" s="92"/>
      <c r="AM75" s="92"/>
      <c r="AN75" s="71"/>
      <c r="AO75" s="1"/>
      <c r="AP75" s="92"/>
      <c r="AQ75" s="92"/>
      <c r="AR75" s="92"/>
      <c r="AS75" s="92"/>
      <c r="AT75" s="71"/>
      <c r="AU75" s="1"/>
      <c r="AV75" s="92"/>
      <c r="AW75" s="92"/>
      <c r="AX75" s="92"/>
      <c r="AY75" s="1"/>
      <c r="AZ75" s="1"/>
      <c r="BA75" s="1"/>
      <c r="BB75" s="1"/>
      <c r="BC75" s="1"/>
      <c r="BD75" s="1"/>
      <c r="BE75" s="1"/>
      <c r="BF75" s="1"/>
      <c r="BG75" s="71"/>
      <c r="BH75" s="1"/>
    </row>
    <row r="76" spans="1:60" ht="15.75" customHeight="1">
      <c r="A76" s="74" t="s">
        <v>156</v>
      </c>
      <c r="B76" s="71"/>
      <c r="C76" s="95" t="s">
        <v>157</v>
      </c>
      <c r="D76" s="72"/>
      <c r="E76" s="73"/>
      <c r="F76" s="72"/>
      <c r="G76" s="72"/>
      <c r="H76" s="1"/>
      <c r="I76" s="1"/>
      <c r="J76" s="74" t="s">
        <v>156</v>
      </c>
      <c r="K76" s="1"/>
      <c r="L76" s="95" t="s">
        <v>157</v>
      </c>
      <c r="M76" s="1"/>
      <c r="N76" s="73"/>
      <c r="O76" s="72"/>
      <c r="P76" s="1"/>
      <c r="Q76" s="1"/>
      <c r="R76" s="1"/>
      <c r="S76" s="71"/>
      <c r="T76" s="1"/>
      <c r="U76" s="71"/>
      <c r="V76" s="72"/>
      <c r="W76" s="1"/>
      <c r="X76" s="72"/>
      <c r="Y76" s="1"/>
      <c r="Z76" s="1"/>
      <c r="AA76" s="1"/>
      <c r="AB76" s="71"/>
      <c r="AC76" s="1"/>
      <c r="AD76" s="92"/>
      <c r="AE76" s="92"/>
      <c r="AF76" s="92"/>
      <c r="AG76" s="1"/>
      <c r="AH76" s="71"/>
      <c r="AI76" s="1"/>
      <c r="AJ76" s="92"/>
      <c r="AK76" s="92"/>
      <c r="AL76" s="92"/>
      <c r="AM76" s="92"/>
      <c r="AN76" s="71"/>
      <c r="AO76" s="1"/>
      <c r="AP76" s="92"/>
      <c r="AQ76" s="92"/>
      <c r="AR76" s="92"/>
      <c r="AS76" s="92"/>
      <c r="AT76" s="71"/>
      <c r="AU76" s="1"/>
      <c r="AV76" s="92"/>
      <c r="AW76" s="92"/>
      <c r="AX76" s="92"/>
      <c r="AY76" s="1"/>
      <c r="AZ76" s="1"/>
      <c r="BA76" s="1"/>
      <c r="BB76" s="1"/>
      <c r="BC76" s="1"/>
      <c r="BD76" s="1"/>
      <c r="BE76" s="1"/>
      <c r="BF76" s="1"/>
      <c r="BG76" s="71"/>
      <c r="BH76" s="1"/>
    </row>
    <row r="77" spans="1:60" ht="15.75" customHeight="1">
      <c r="A77" s="107" t="s">
        <v>172</v>
      </c>
      <c r="B77" s="106"/>
      <c r="C77" s="106"/>
      <c r="D77" s="106"/>
      <c r="E77" s="106"/>
      <c r="F77" s="8">
        <v>46204</v>
      </c>
      <c r="G77" s="72"/>
      <c r="H77" s="1"/>
      <c r="I77" s="1"/>
      <c r="J77" s="107" t="s">
        <v>173</v>
      </c>
      <c r="K77" s="106"/>
      <c r="L77" s="106"/>
      <c r="M77" s="106"/>
      <c r="N77" s="106"/>
      <c r="O77" s="8">
        <v>46209</v>
      </c>
      <c r="P77" s="1"/>
      <c r="Q77" s="1"/>
      <c r="R77" s="1"/>
      <c r="S77" s="71"/>
      <c r="T77" s="1"/>
      <c r="U77" s="71"/>
      <c r="V77" s="72"/>
      <c r="W77" s="1"/>
      <c r="X77" s="72"/>
      <c r="Y77" s="1"/>
      <c r="Z77" s="1"/>
      <c r="AA77" s="1"/>
      <c r="AB77" s="71"/>
      <c r="AC77" s="1"/>
      <c r="AD77" s="92"/>
      <c r="AE77" s="92"/>
      <c r="AF77" s="92"/>
      <c r="AG77" s="1"/>
      <c r="AH77" s="71"/>
      <c r="AI77" s="1"/>
      <c r="AJ77" s="92"/>
      <c r="AK77" s="92"/>
      <c r="AL77" s="92"/>
      <c r="AM77" s="92"/>
      <c r="AN77" s="71"/>
      <c r="AO77" s="1"/>
      <c r="AP77" s="92"/>
      <c r="AQ77" s="92"/>
      <c r="AR77" s="92"/>
      <c r="AS77" s="92"/>
      <c r="AT77" s="71"/>
      <c r="AU77" s="1"/>
      <c r="AV77" s="92"/>
      <c r="AW77" s="92"/>
      <c r="AX77" s="92"/>
      <c r="AY77" s="1"/>
      <c r="AZ77" s="1"/>
      <c r="BA77" s="1"/>
      <c r="BB77" s="1"/>
      <c r="BC77" s="1"/>
      <c r="BD77" s="1"/>
      <c r="BE77" s="1"/>
      <c r="BF77" s="1"/>
      <c r="BG77" s="71"/>
      <c r="BH77" s="1"/>
    </row>
    <row r="78" spans="1:60" ht="15.75" customHeight="1">
      <c r="A78" s="70" t="str">
        <f>AI8</f>
        <v>Turquia</v>
      </c>
      <c r="B78" s="71">
        <v>1</v>
      </c>
      <c r="C78" s="95" t="s">
        <v>12</v>
      </c>
      <c r="D78" s="72">
        <v>0</v>
      </c>
      <c r="E78" s="73" t="str">
        <f t="array" ref="E78">INDEX($AC$38:$AC$49, MATCH( RIGHT(INDEX(Matriz!D:D, MATCH(BI1, Matriz!J:J, 0)), 1), $AG$38:$AG$49, 0))</f>
        <v>Suíça</v>
      </c>
      <c r="F78" s="17" t="s">
        <v>83</v>
      </c>
      <c r="G78" s="72"/>
      <c r="H78" s="1"/>
      <c r="I78" s="1"/>
      <c r="J78" s="70" t="str">
        <f>IF(B78 = "", "", IF(B78 &gt; D78, A78, IF(D78 &gt; B78, E78, IF(D79 &gt; B79, E78, A78))))</f>
        <v>Turquia</v>
      </c>
      <c r="K78" s="76">
        <v>1</v>
      </c>
      <c r="L78" s="95" t="s">
        <v>12</v>
      </c>
      <c r="M78" s="76">
        <v>2</v>
      </c>
      <c r="N78" s="73" t="str">
        <f>IF(B81 = "", "", IF(B81 &gt; D81, A81, IF(D81 &gt; B81, E81, IF(D82 &gt; B82, E81, A81))))</f>
        <v>Bélgica</v>
      </c>
      <c r="O78" s="17" t="s">
        <v>83</v>
      </c>
      <c r="P78" s="1"/>
      <c r="Q78" s="1"/>
      <c r="R78" s="1"/>
      <c r="S78" s="71"/>
      <c r="T78" s="1"/>
      <c r="U78" s="71"/>
      <c r="V78" s="72"/>
      <c r="W78" s="1"/>
      <c r="X78" s="72"/>
      <c r="Y78" s="1"/>
      <c r="Z78" s="1"/>
      <c r="AA78" s="1"/>
      <c r="AB78" s="71"/>
      <c r="AC78" s="1"/>
      <c r="AD78" s="92"/>
      <c r="AE78" s="92"/>
      <c r="AF78" s="92"/>
      <c r="AG78" s="1"/>
      <c r="AH78" s="71"/>
      <c r="AI78" s="1"/>
      <c r="AJ78" s="92"/>
      <c r="AK78" s="92"/>
      <c r="AL78" s="92"/>
      <c r="AM78" s="92"/>
      <c r="AN78" s="71"/>
      <c r="AO78" s="1"/>
      <c r="AP78" s="92"/>
      <c r="AQ78" s="92"/>
      <c r="AR78" s="92"/>
      <c r="AS78" s="92"/>
      <c r="AT78" s="71"/>
      <c r="AU78" s="1"/>
      <c r="AV78" s="92"/>
      <c r="AW78" s="92"/>
      <c r="AX78" s="92"/>
      <c r="AY78" s="1"/>
      <c r="AZ78" s="1"/>
      <c r="BA78" s="1"/>
      <c r="BB78" s="1"/>
      <c r="BC78" s="1"/>
      <c r="BD78" s="1"/>
      <c r="BE78" s="1"/>
      <c r="BF78" s="1"/>
      <c r="BG78" s="71"/>
      <c r="BH78" s="1"/>
    </row>
    <row r="79" spans="1:60" ht="15.75" customHeight="1">
      <c r="A79" s="74" t="s">
        <v>156</v>
      </c>
      <c r="B79" s="71"/>
      <c r="C79" s="95" t="s">
        <v>157</v>
      </c>
      <c r="D79" s="72"/>
      <c r="E79" s="73"/>
      <c r="F79" s="72"/>
      <c r="G79" s="72"/>
      <c r="H79" s="1"/>
      <c r="I79" s="1"/>
      <c r="J79" s="74" t="s">
        <v>156</v>
      </c>
      <c r="K79" s="1"/>
      <c r="L79" s="95" t="s">
        <v>157</v>
      </c>
      <c r="M79" s="1"/>
      <c r="N79" s="73"/>
      <c r="O79" s="72"/>
      <c r="P79" s="1"/>
      <c r="Q79" s="1"/>
      <c r="R79" s="1"/>
      <c r="S79" s="71"/>
      <c r="T79" s="1"/>
      <c r="U79" s="71"/>
      <c r="V79" s="72"/>
      <c r="W79" s="1"/>
      <c r="X79" s="72"/>
      <c r="Y79" s="1"/>
      <c r="Z79" s="1"/>
      <c r="AA79" s="1"/>
      <c r="AB79" s="71"/>
      <c r="AC79" s="92" t="s">
        <v>3</v>
      </c>
      <c r="AD79" s="92" t="s">
        <v>4</v>
      </c>
      <c r="AE79" s="92" t="s">
        <v>5</v>
      </c>
      <c r="AF79" s="92" t="s">
        <v>6</v>
      </c>
      <c r="AG79" s="1"/>
      <c r="AH79" s="71"/>
      <c r="AI79" s="92" t="s">
        <v>7</v>
      </c>
      <c r="AJ79" s="92" t="s">
        <v>4</v>
      </c>
      <c r="AK79" s="92" t="s">
        <v>5</v>
      </c>
      <c r="AL79" s="92" t="s">
        <v>6</v>
      </c>
      <c r="AM79" s="92"/>
      <c r="AN79" s="71"/>
      <c r="AO79" s="92" t="s">
        <v>32</v>
      </c>
      <c r="AP79" s="92" t="s">
        <v>4</v>
      </c>
      <c r="AQ79" s="92" t="s">
        <v>5</v>
      </c>
      <c r="AR79" s="92" t="s">
        <v>6</v>
      </c>
      <c r="AS79" s="92"/>
      <c r="AT79" s="71"/>
      <c r="AU79" s="92" t="s">
        <v>33</v>
      </c>
      <c r="AV79" s="92" t="s">
        <v>4</v>
      </c>
      <c r="AW79" s="92" t="s">
        <v>5</v>
      </c>
      <c r="AX79" s="92" t="s">
        <v>6</v>
      </c>
      <c r="AY79" s="1"/>
      <c r="AZ79" s="1"/>
      <c r="BA79" s="1"/>
      <c r="BB79" s="1"/>
      <c r="BC79" s="103" t="s">
        <v>124</v>
      </c>
      <c r="BD79" s="104"/>
      <c r="BE79" s="104"/>
      <c r="BF79" s="104"/>
      <c r="BG79" s="71"/>
      <c r="BH79" s="1"/>
    </row>
    <row r="80" spans="1:60" ht="15.75" customHeight="1">
      <c r="A80" s="107" t="s">
        <v>174</v>
      </c>
      <c r="B80" s="106"/>
      <c r="C80" s="106"/>
      <c r="D80" s="106"/>
      <c r="E80" s="106"/>
      <c r="F80" s="8">
        <v>46204</v>
      </c>
      <c r="G80" s="72"/>
      <c r="H80" s="1"/>
      <c r="I80" s="1"/>
      <c r="J80" s="107" t="s">
        <v>175</v>
      </c>
      <c r="K80" s="106"/>
      <c r="L80" s="106"/>
      <c r="M80" s="106"/>
      <c r="N80" s="106"/>
      <c r="O80" s="8">
        <v>46210</v>
      </c>
      <c r="P80" s="1"/>
      <c r="Q80" s="1"/>
      <c r="R80" s="1"/>
      <c r="S80" s="71"/>
      <c r="T80" s="1"/>
      <c r="U80" s="71"/>
      <c r="V80" s="72"/>
      <c r="W80" s="1"/>
      <c r="X80" s="72"/>
      <c r="Y80" s="1"/>
      <c r="Z80" s="1"/>
      <c r="AA80" s="1"/>
      <c r="AB80" s="71" t="s">
        <v>176</v>
      </c>
      <c r="AC80" s="1" t="s">
        <v>11</v>
      </c>
      <c r="AD80" s="92">
        <f>$G$3+$P$9+$Z$13</f>
        <v>7</v>
      </c>
      <c r="AE80" s="92">
        <f>$B$3+$K$9+$V$13-$D$3-$M$9-$T$13</f>
        <v>3</v>
      </c>
      <c r="AF80" s="92">
        <f>$B$3+$K$9+$V$13</f>
        <v>5</v>
      </c>
      <c r="AG80" s="1">
        <f>AD80+(AE80/100)+(AF80/10000)+0.00004</f>
        <v>7.0305400000000002</v>
      </c>
      <c r="AH80" s="71" t="s">
        <v>176</v>
      </c>
      <c r="AI80" s="1" t="s">
        <v>17</v>
      </c>
      <c r="AJ80" s="92">
        <f>Y$3+P$5+H$11</f>
        <v>4</v>
      </c>
      <c r="AK80" s="92">
        <f>AL80-V$3-M$5-B$11</f>
        <v>1</v>
      </c>
      <c r="AL80" s="92">
        <f>T$3+K$5+D$11</f>
        <v>4</v>
      </c>
      <c r="AM80" s="92">
        <f>AJ80+(AK80/100)+(AL80/10000)+0.00001</f>
        <v>4.0104099999999994</v>
      </c>
      <c r="AN80" s="71" t="s">
        <v>176</v>
      </c>
      <c r="AO80" s="1" t="s">
        <v>41</v>
      </c>
      <c r="AP80" s="92">
        <f>Z$9+P$15+G$13</f>
        <v>6</v>
      </c>
      <c r="AQ80" s="92">
        <f>AR80-T$9-M$15-D$13</f>
        <v>2</v>
      </c>
      <c r="AR80" s="92">
        <f>V$9+K$15+B$13</f>
        <v>4</v>
      </c>
      <c r="AS80" s="92">
        <f>AP80+(AQ80/100)+(AR80/10000)+0.00004</f>
        <v>6.0204399999999998</v>
      </c>
      <c r="AT80" s="71" t="s">
        <v>176</v>
      </c>
      <c r="AU80" s="1" t="s">
        <v>61</v>
      </c>
      <c r="AV80" s="92">
        <f>Y$23+P$17+H$17</f>
        <v>6</v>
      </c>
      <c r="AW80" s="92">
        <f>AX80-V$23-M$17-B$17</f>
        <v>1</v>
      </c>
      <c r="AX80" s="92">
        <f>T$23+K$17+D$17</f>
        <v>3</v>
      </c>
      <c r="AY80" s="1">
        <f>AV80+(AW80/100)+(AX80/10000)+0.00001</f>
        <v>6.0103099999999996</v>
      </c>
      <c r="AZ80" s="1"/>
      <c r="BA80" s="1"/>
      <c r="BB80" s="71" t="s">
        <v>176</v>
      </c>
      <c r="BC80" s="1" t="str">
        <f t="shared" ref="BC80:BF80" si="53">AC$4</f>
        <v>África do Sul</v>
      </c>
      <c r="BD80" s="1">
        <f t="shared" si="53"/>
        <v>3</v>
      </c>
      <c r="BE80" s="1">
        <f t="shared" si="53"/>
        <v>-1</v>
      </c>
      <c r="BF80" s="1">
        <f t="shared" si="53"/>
        <v>3</v>
      </c>
      <c r="BG80" s="71">
        <f>BD80+(BE80/100)+(BF80/10000)+0.000012</f>
        <v>2.9903120000000003</v>
      </c>
      <c r="BH80" s="1" t="s">
        <v>177</v>
      </c>
    </row>
    <row r="81" spans="1:60" ht="15.75" customHeight="1">
      <c r="A81" s="70" t="str">
        <f>AC20</f>
        <v>Bélgica</v>
      </c>
      <c r="B81" s="71">
        <v>3</v>
      </c>
      <c r="C81" s="95" t="s">
        <v>12</v>
      </c>
      <c r="D81" s="72">
        <v>1</v>
      </c>
      <c r="E81" s="73" t="str">
        <f t="array" ref="E81">INDEX($AC$38:$AC$49, MATCH( RIGHT(INDEX(Matriz!F:F, MATCH(BI1, Matriz!J:J, 0)), 1), $AG$38:$AG$49, 0))</f>
        <v>África do Sul</v>
      </c>
      <c r="F81" s="17" t="s">
        <v>57</v>
      </c>
      <c r="G81" s="72"/>
      <c r="H81" s="1"/>
      <c r="I81" s="1"/>
      <c r="J81" s="70" t="str">
        <f>IF(B93 = "", "", IF(B93 &gt; D93, A93, IF(D93 &gt; B93, E93, IF(D94 &gt; B94, E93, A93))))</f>
        <v>Cabo Verde</v>
      </c>
      <c r="K81" s="76">
        <v>1</v>
      </c>
      <c r="L81" s="95" t="s">
        <v>12</v>
      </c>
      <c r="M81" s="76">
        <v>0</v>
      </c>
      <c r="N81" s="73" t="str">
        <f>IF(B99 = "", "", IF(B99 &gt; D99, A99, IF(D99 &gt; B99, E99, IF(D100 &gt; B100, E99, A99))))</f>
        <v>Nova Zelândia</v>
      </c>
      <c r="O81" s="17" t="s">
        <v>16</v>
      </c>
      <c r="P81" s="1"/>
      <c r="Q81" s="1"/>
      <c r="R81" s="1"/>
      <c r="S81" s="71"/>
      <c r="T81" s="1"/>
      <c r="U81" s="71"/>
      <c r="V81" s="72"/>
      <c r="W81" s="1"/>
      <c r="X81" s="72"/>
      <c r="Y81" s="1"/>
      <c r="Z81" s="1"/>
      <c r="AA81" s="1"/>
      <c r="AB81" s="71" t="s">
        <v>178</v>
      </c>
      <c r="AC81" s="1" t="s">
        <v>15</v>
      </c>
      <c r="AD81" s="92">
        <f>$P$3+$H$5+$Y$13</f>
        <v>4</v>
      </c>
      <c r="AE81" s="92">
        <f>$D$5-$B$5+$K$3-$M$3+$T$13-$V$13</f>
        <v>0</v>
      </c>
      <c r="AF81" s="92">
        <f>$D$5+$T$13+$K$3</f>
        <v>1</v>
      </c>
      <c r="AG81" s="1">
        <f>AD81+(AE81/100)+(AF81/10000)+0.00001</f>
        <v>4.0001099999999994</v>
      </c>
      <c r="AH81" s="71" t="s">
        <v>178</v>
      </c>
      <c r="AI81" s="1" t="s">
        <v>24</v>
      </c>
      <c r="AJ81" s="92">
        <f>Y$5+Q$5+H$7</f>
        <v>5</v>
      </c>
      <c r="AK81" s="92">
        <f>AL81-V$5-K$5-B$7</f>
        <v>1</v>
      </c>
      <c r="AL81" s="92">
        <f>T$5+M$5+D$7</f>
        <v>3</v>
      </c>
      <c r="AM81" s="92">
        <f>AJ81+(AK81/100)+(AL81/10000)+0.00003</f>
        <v>5.0103299999999997</v>
      </c>
      <c r="AN81" s="71" t="s">
        <v>178</v>
      </c>
      <c r="AO81" s="1" t="s">
        <v>30</v>
      </c>
      <c r="AP81" s="92">
        <f>Y$7+Q$13+H$13</f>
        <v>4</v>
      </c>
      <c r="AQ81" s="92">
        <f>AR81-V$7-K$13-B$13</f>
        <v>0</v>
      </c>
      <c r="AR81" s="92">
        <f>T$7+M$13+D$13</f>
        <v>5</v>
      </c>
      <c r="AS81" s="92">
        <f>AP81+(AQ81/100)+(AR81/10000)+0.00003</f>
        <v>4.0005299999999995</v>
      </c>
      <c r="AT81" s="71" t="s">
        <v>178</v>
      </c>
      <c r="AU81" s="1" t="s">
        <v>37</v>
      </c>
      <c r="AV81" s="92">
        <f>Z$23+P$11+G$9</f>
        <v>4</v>
      </c>
      <c r="AW81" s="92">
        <f>AX81-T$23-M$11-D$9</f>
        <v>1</v>
      </c>
      <c r="AX81" s="92">
        <f>V$23+K$11+B$9</f>
        <v>4</v>
      </c>
      <c r="AY81" s="1">
        <f>AV81+(AW81/100)+(AX81/10000)+0.00004</f>
        <v>4.01044</v>
      </c>
      <c r="AZ81" s="1"/>
      <c r="BA81" s="1"/>
      <c r="BB81" s="71" t="s">
        <v>178</v>
      </c>
      <c r="BC81" s="1" t="str">
        <f t="shared" ref="BC81:BF81" si="54">AC$16</f>
        <v>Curaçao</v>
      </c>
      <c r="BD81" s="1">
        <f t="shared" si="54"/>
        <v>3</v>
      </c>
      <c r="BE81" s="1">
        <f t="shared" si="54"/>
        <v>-1</v>
      </c>
      <c r="BF81" s="1">
        <f t="shared" si="54"/>
        <v>2</v>
      </c>
      <c r="BG81" s="71">
        <f>BD81+(BE81/100)+(BF81/10000)+0.000008</f>
        <v>2.990208</v>
      </c>
      <c r="BH81" s="1" t="s">
        <v>179</v>
      </c>
    </row>
    <row r="82" spans="1:60" ht="15.75" customHeight="1">
      <c r="A82" s="74" t="s">
        <v>156</v>
      </c>
      <c r="B82" s="71"/>
      <c r="C82" s="95" t="s">
        <v>157</v>
      </c>
      <c r="D82" s="72"/>
      <c r="E82" s="73"/>
      <c r="F82" s="72"/>
      <c r="G82" s="72"/>
      <c r="H82" s="1"/>
      <c r="I82" s="1"/>
      <c r="J82" s="74" t="s">
        <v>156</v>
      </c>
      <c r="K82" s="1"/>
      <c r="L82" s="95" t="s">
        <v>157</v>
      </c>
      <c r="M82" s="1"/>
      <c r="N82" s="73"/>
      <c r="O82" s="72"/>
      <c r="P82" s="1"/>
      <c r="Q82" s="1"/>
      <c r="R82" s="1"/>
      <c r="S82" s="71"/>
      <c r="T82" s="1"/>
      <c r="U82" s="71"/>
      <c r="V82" s="72"/>
      <c r="W82" s="1"/>
      <c r="X82" s="72"/>
      <c r="Y82" s="1"/>
      <c r="Z82" s="1"/>
      <c r="AA82" s="1"/>
      <c r="AB82" s="71" t="s">
        <v>180</v>
      </c>
      <c r="AC82" s="1" t="s">
        <v>22</v>
      </c>
      <c r="AD82" s="92">
        <f>$G$5+$Q$9+$Z$11</f>
        <v>3</v>
      </c>
      <c r="AE82" s="92">
        <f>$B$5+$M$9+$V$11-$T$11-$K$9-$D$5</f>
        <v>-2</v>
      </c>
      <c r="AF82" s="92">
        <f>$B$5+$M$9+$V$11</f>
        <v>3</v>
      </c>
      <c r="AG82" s="1">
        <f>AD82+(AE82/100)+(AF82/10000)+0.00002</f>
        <v>2.9803200000000003</v>
      </c>
      <c r="AH82" s="71" t="s">
        <v>180</v>
      </c>
      <c r="AI82" s="1" t="s">
        <v>18</v>
      </c>
      <c r="AJ82" s="92">
        <f>Z$3+P$7+G$7</f>
        <v>7</v>
      </c>
      <c r="AK82" s="92">
        <f>AL82-T$3-M$7-D$7</f>
        <v>2</v>
      </c>
      <c r="AL82" s="92">
        <f>V$3+K$7+B$7</f>
        <v>4</v>
      </c>
      <c r="AM82" s="92">
        <f>AJ82+(AK82/100)+(AL82/10000)+0.00004</f>
        <v>7.0204399999999998</v>
      </c>
      <c r="AN82" s="71" t="s">
        <v>180</v>
      </c>
      <c r="AO82" s="1" t="s">
        <v>40</v>
      </c>
      <c r="AP82" s="92">
        <f>Y$9+P$13+H$15</f>
        <v>4</v>
      </c>
      <c r="AQ82" s="92">
        <f>AR82-V$9-M$13-B$15</f>
        <v>0</v>
      </c>
      <c r="AR82" s="92">
        <f>T$9+K$13+D$15</f>
        <v>4</v>
      </c>
      <c r="AS82" s="92">
        <f>AP82+(AQ82/100)+(AR82/10000)+0.00001</f>
        <v>4.0004099999999996</v>
      </c>
      <c r="AT82" s="71" t="s">
        <v>180</v>
      </c>
      <c r="AU82" s="1" t="s">
        <v>38</v>
      </c>
      <c r="AV82" s="92">
        <f>Y$25+Q$17+H$9</f>
        <v>2</v>
      </c>
      <c r="AW82" s="92">
        <f>AX82-V$25-K$17-B$9</f>
        <v>-2</v>
      </c>
      <c r="AX82" s="92">
        <f>T$25+M$17+D$9</f>
        <v>2</v>
      </c>
      <c r="AY82" s="1">
        <f>AV82+(AW82/100)+(AX82/10000)+0.00003</f>
        <v>1.9802299999999999</v>
      </c>
      <c r="AZ82" s="1"/>
      <c r="BA82" s="1"/>
      <c r="BB82" s="71" t="s">
        <v>180</v>
      </c>
      <c r="BC82" s="1" t="str">
        <f t="shared" ref="BC82:BF82" si="55">AC$28</f>
        <v>Senegal</v>
      </c>
      <c r="BD82" s="1">
        <f t="shared" si="55"/>
        <v>3</v>
      </c>
      <c r="BE82" s="1">
        <f t="shared" si="55"/>
        <v>-3</v>
      </c>
      <c r="BF82" s="1">
        <f t="shared" si="55"/>
        <v>2</v>
      </c>
      <c r="BG82" s="71">
        <f>BD82+(BE82/100)+(BF82/10000)+0.000004</f>
        <v>2.9702040000000003</v>
      </c>
      <c r="BH82" s="1" t="s">
        <v>181</v>
      </c>
    </row>
    <row r="83" spans="1:60" ht="15.75" customHeight="1">
      <c r="A83" s="107" t="s">
        <v>182</v>
      </c>
      <c r="B83" s="106"/>
      <c r="C83" s="106"/>
      <c r="D83" s="106"/>
      <c r="E83" s="106"/>
      <c r="F83" s="8">
        <v>46205</v>
      </c>
      <c r="G83" s="72"/>
      <c r="H83" s="1"/>
      <c r="I83" s="1"/>
      <c r="J83" s="107" t="s">
        <v>183</v>
      </c>
      <c r="K83" s="106"/>
      <c r="L83" s="106"/>
      <c r="M83" s="106"/>
      <c r="N83" s="106"/>
      <c r="O83" s="8">
        <v>46210</v>
      </c>
      <c r="P83" s="1"/>
      <c r="Q83" s="1"/>
      <c r="R83" s="1"/>
      <c r="S83" s="121" t="s">
        <v>184</v>
      </c>
      <c r="T83" s="106"/>
      <c r="U83" s="106"/>
      <c r="V83" s="106"/>
      <c r="W83" s="106"/>
      <c r="X83" s="72"/>
      <c r="Y83" s="1"/>
      <c r="Z83" s="1"/>
      <c r="AA83" s="1"/>
      <c r="AB83" s="71" t="s">
        <v>185</v>
      </c>
      <c r="AC83" s="1" t="s">
        <v>13</v>
      </c>
      <c r="AD83" s="92">
        <f>$H$3+$Q$3+$Y$11</f>
        <v>3</v>
      </c>
      <c r="AE83" s="92">
        <f>$M$3+$D$3+$T$11-$V$11-$K$3-$B$3</f>
        <v>-1</v>
      </c>
      <c r="AF83" s="92">
        <f>$M$3+$D$3+$T$11</f>
        <v>3</v>
      </c>
      <c r="AG83" s="1">
        <f>AD83+(AE83/100)+(AF83/10000)+0.00003</f>
        <v>2.9903300000000006</v>
      </c>
      <c r="AH83" s="71" t="s">
        <v>185</v>
      </c>
      <c r="AI83" s="1" t="s">
        <v>25</v>
      </c>
      <c r="AJ83" s="92">
        <f>Z$5+Q$7+G$11</f>
        <v>0</v>
      </c>
      <c r="AK83" s="92">
        <f>AL83-T$5-K$7-D$11</f>
        <v>-4</v>
      </c>
      <c r="AL83" s="92">
        <f>V$5+M$7+B$11</f>
        <v>2</v>
      </c>
      <c r="AM83" s="92">
        <f>AJ83+(AK83/100)+(AL83/10000)+0.00002</f>
        <v>-3.9780000000000003E-2</v>
      </c>
      <c r="AN83" s="71" t="s">
        <v>185</v>
      </c>
      <c r="AO83" s="1" t="s">
        <v>31</v>
      </c>
      <c r="AP83" s="92">
        <f>Z$7+Q$15+G$15</f>
        <v>3</v>
      </c>
      <c r="AQ83" s="92">
        <f>AR83-T$7-K$15-D$15</f>
        <v>-2</v>
      </c>
      <c r="AR83" s="92">
        <f>V$7+M$15+B$15</f>
        <v>3</v>
      </c>
      <c r="AS83" s="92">
        <f>AP83+(AQ83/100)+(AR83/10000)+0.00002</f>
        <v>2.9803200000000003</v>
      </c>
      <c r="AT83" s="71" t="s">
        <v>185</v>
      </c>
      <c r="AU83" s="1" t="s">
        <v>45</v>
      </c>
      <c r="AV83" s="92">
        <f>Z$25+Q$11+G$17</f>
        <v>4</v>
      </c>
      <c r="AW83" s="92">
        <f>AX83-T$25-K$11-D$17</f>
        <v>0</v>
      </c>
      <c r="AX83" s="92">
        <f>V$25+M$11+B$17</f>
        <v>1</v>
      </c>
      <c r="AY83" s="1">
        <f>AV83+(AW83/100)+(AX83/10000)+0.00002</f>
        <v>4.0001199999999999</v>
      </c>
      <c r="AZ83" s="1"/>
      <c r="BA83" s="1"/>
      <c r="BB83" s="71" t="s">
        <v>185</v>
      </c>
      <c r="BC83" s="1" t="str">
        <f t="shared" ref="BC83:BF83" si="56">AI$4</f>
        <v>Suíça</v>
      </c>
      <c r="BD83" s="1">
        <f t="shared" si="56"/>
        <v>4</v>
      </c>
      <c r="BE83" s="1">
        <f t="shared" si="56"/>
        <v>1</v>
      </c>
      <c r="BF83" s="1">
        <f t="shared" si="56"/>
        <v>4</v>
      </c>
      <c r="BG83" s="71">
        <f>BD83+(BE83/100)+(BF83/10000)+0.000011</f>
        <v>4.0104109999999995</v>
      </c>
      <c r="BH83" s="1" t="s">
        <v>186</v>
      </c>
    </row>
    <row r="84" spans="1:60" ht="15.75" customHeight="1">
      <c r="A84" s="70" t="str">
        <f>AC33</f>
        <v>Colômbia</v>
      </c>
      <c r="B84" s="71">
        <v>2</v>
      </c>
      <c r="C84" s="95" t="s">
        <v>12</v>
      </c>
      <c r="D84" s="72">
        <v>2</v>
      </c>
      <c r="E84" s="73" t="str">
        <f>AI33</f>
        <v>Inglaterra</v>
      </c>
      <c r="F84" s="17" t="s">
        <v>73</v>
      </c>
      <c r="G84" s="72"/>
      <c r="H84" s="1"/>
      <c r="I84" s="1"/>
      <c r="J84" s="70" t="str">
        <f>IF(B90 = "", "", IF(B90 &gt; D90, A90, IF(D90 &gt; B90, E90, IF(D91 &gt; B91, E90, A90))))</f>
        <v>Canadá</v>
      </c>
      <c r="K84" s="76">
        <v>1</v>
      </c>
      <c r="L84" s="95" t="s">
        <v>12</v>
      </c>
      <c r="M84" s="76">
        <v>1</v>
      </c>
      <c r="N84" s="73" t="str">
        <f>IF(B96 = "", "", IF(B96 &gt; D96, A96, IF(D96 &gt; B96, E96, IF(D97 &gt; B97, E96, A96))))</f>
        <v>Portugal</v>
      </c>
      <c r="O84" s="17" t="s">
        <v>57</v>
      </c>
      <c r="P84" s="1"/>
      <c r="Q84" s="1"/>
      <c r="R84" s="1"/>
      <c r="S84" s="118" t="s">
        <v>187</v>
      </c>
      <c r="T84" s="106"/>
      <c r="U84" s="106"/>
      <c r="V84" s="106"/>
      <c r="W84" s="106"/>
      <c r="X84" s="8">
        <v>46217</v>
      </c>
      <c r="Y84" s="1"/>
      <c r="Z84" s="1"/>
      <c r="AA84" s="1"/>
      <c r="AB84" s="71"/>
      <c r="AC84" s="71"/>
      <c r="AD84" s="92"/>
      <c r="AE84" s="92"/>
      <c r="AF84" s="92"/>
      <c r="AG84" s="1"/>
      <c r="AH84" s="71"/>
      <c r="AI84" s="1"/>
      <c r="AJ84" s="92"/>
      <c r="AK84" s="92"/>
      <c r="AL84" s="92"/>
      <c r="AM84" s="92"/>
      <c r="AN84" s="71"/>
      <c r="AO84" s="72"/>
      <c r="AP84" s="92"/>
      <c r="AQ84" s="92"/>
      <c r="AR84" s="92"/>
      <c r="AS84" s="92"/>
      <c r="AT84" s="71"/>
      <c r="AU84" s="1"/>
      <c r="AV84" s="92"/>
      <c r="AW84" s="92"/>
      <c r="AX84" s="92"/>
      <c r="AY84" s="1"/>
      <c r="AZ84" s="1"/>
      <c r="BA84" s="1"/>
      <c r="BB84" s="71" t="s">
        <v>188</v>
      </c>
      <c r="BC84" s="1" t="str">
        <f t="shared" ref="BC84:BF84" si="57">AI$16</f>
        <v>Tunísia</v>
      </c>
      <c r="BD84" s="1">
        <f t="shared" si="57"/>
        <v>4</v>
      </c>
      <c r="BE84" s="1">
        <f t="shared" si="57"/>
        <v>0</v>
      </c>
      <c r="BF84" s="1">
        <f t="shared" si="57"/>
        <v>3</v>
      </c>
      <c r="BG84" s="71">
        <f>BD84+(BE84/100)+(BF84/10000)+0.000007</f>
        <v>4.0003070000000003</v>
      </c>
      <c r="BH84" s="1" t="s">
        <v>189</v>
      </c>
    </row>
    <row r="85" spans="1:60" ht="15.75" customHeight="1">
      <c r="A85" s="74" t="s">
        <v>156</v>
      </c>
      <c r="B85" s="71">
        <v>5</v>
      </c>
      <c r="C85" s="95" t="s">
        <v>157</v>
      </c>
      <c r="D85" s="72">
        <v>4</v>
      </c>
      <c r="E85" s="73"/>
      <c r="F85" s="72"/>
      <c r="G85" s="72"/>
      <c r="H85" s="1"/>
      <c r="I85" s="1"/>
      <c r="J85" s="74" t="s">
        <v>156</v>
      </c>
      <c r="K85" s="76">
        <v>7</v>
      </c>
      <c r="L85" s="95" t="s">
        <v>157</v>
      </c>
      <c r="M85" s="76">
        <v>8</v>
      </c>
      <c r="N85" s="73"/>
      <c r="O85" s="72"/>
      <c r="P85" s="1"/>
      <c r="Q85" s="1"/>
      <c r="R85" s="1"/>
      <c r="S85" s="77" t="str">
        <f>IF(K90 = "", "", IF(K90 &gt; M90, J90, IF(M90 &gt; K90, N90, IF(M91 &gt; K91, N90, J90))))</f>
        <v>Alemanha</v>
      </c>
      <c r="T85" s="76">
        <v>3</v>
      </c>
      <c r="U85" s="94" t="s">
        <v>12</v>
      </c>
      <c r="V85" s="72">
        <v>2</v>
      </c>
      <c r="W85" s="78" t="str">
        <f>IF(K93 = "", "", IF(K93 &gt; M93, J93, IF(M93 &gt; K93, N93, IF(M94 &gt; K94, N93, J93))))</f>
        <v>Argentina</v>
      </c>
      <c r="X85" s="17" t="s">
        <v>14</v>
      </c>
      <c r="Y85" s="1"/>
      <c r="Z85" s="1"/>
      <c r="AA85" s="1"/>
      <c r="AB85" s="71"/>
      <c r="AC85" s="92" t="s">
        <v>49</v>
      </c>
      <c r="AD85" s="92" t="s">
        <v>4</v>
      </c>
      <c r="AE85" s="92" t="s">
        <v>5</v>
      </c>
      <c r="AF85" s="92" t="s">
        <v>6</v>
      </c>
      <c r="AG85" s="1"/>
      <c r="AH85" s="71"/>
      <c r="AI85" s="92" t="s">
        <v>50</v>
      </c>
      <c r="AJ85" s="92" t="s">
        <v>4</v>
      </c>
      <c r="AK85" s="92" t="s">
        <v>5</v>
      </c>
      <c r="AL85" s="92" t="s">
        <v>6</v>
      </c>
      <c r="AM85" s="92"/>
      <c r="AN85" s="71"/>
      <c r="AO85" s="92" t="s">
        <v>74</v>
      </c>
      <c r="AP85" s="92" t="s">
        <v>4</v>
      </c>
      <c r="AQ85" s="92" t="s">
        <v>5</v>
      </c>
      <c r="AR85" s="92" t="s">
        <v>6</v>
      </c>
      <c r="AS85" s="92"/>
      <c r="AT85" s="71"/>
      <c r="AU85" s="92" t="s">
        <v>75</v>
      </c>
      <c r="AV85" s="92" t="s">
        <v>4</v>
      </c>
      <c r="AW85" s="92" t="s">
        <v>5</v>
      </c>
      <c r="AX85" s="92" t="s">
        <v>6</v>
      </c>
      <c r="AY85" s="1"/>
      <c r="AZ85" s="1"/>
      <c r="BA85" s="1"/>
      <c r="BB85" s="71" t="s">
        <v>190</v>
      </c>
      <c r="BC85" s="1" t="str">
        <f t="shared" ref="BC85:BF85" si="58">AI$28</f>
        <v>Áustria</v>
      </c>
      <c r="BD85" s="1">
        <f t="shared" si="58"/>
        <v>3</v>
      </c>
      <c r="BE85" s="1">
        <f t="shared" si="58"/>
        <v>-1</v>
      </c>
      <c r="BF85" s="1">
        <f t="shared" si="58"/>
        <v>1</v>
      </c>
      <c r="BG85" s="71">
        <f>BD85+(BE85/100)+(BF85/10000)+0.000003</f>
        <v>2.9901030000000004</v>
      </c>
      <c r="BH85" s="1" t="s">
        <v>191</v>
      </c>
    </row>
    <row r="86" spans="1:60" ht="15.75" customHeight="1">
      <c r="A86" s="107" t="s">
        <v>192</v>
      </c>
      <c r="B86" s="106"/>
      <c r="C86" s="106"/>
      <c r="D86" s="106"/>
      <c r="E86" s="106"/>
      <c r="F86" s="8">
        <v>46205</v>
      </c>
      <c r="G86" s="72"/>
      <c r="H86" s="1"/>
      <c r="I86" s="1"/>
      <c r="J86" s="70"/>
      <c r="K86" s="73"/>
      <c r="L86" s="73"/>
      <c r="M86" s="73"/>
      <c r="N86" s="73"/>
      <c r="O86" s="8"/>
      <c r="P86" s="1"/>
      <c r="Q86" s="1"/>
      <c r="R86" s="1"/>
      <c r="S86" s="77" t="s">
        <v>156</v>
      </c>
      <c r="T86" s="1"/>
      <c r="U86" s="94" t="s">
        <v>157</v>
      </c>
      <c r="V86" s="72"/>
      <c r="W86" s="78"/>
      <c r="X86" s="72"/>
      <c r="Y86" s="1"/>
      <c r="Z86" s="1"/>
      <c r="AA86" s="1"/>
      <c r="AB86" s="71" t="s">
        <v>176</v>
      </c>
      <c r="AC86" s="1" t="s">
        <v>65</v>
      </c>
      <c r="AD86" s="92">
        <f>G$19+P$21+Z$17</f>
        <v>9</v>
      </c>
      <c r="AE86" s="92">
        <f>AF86-T$17-M$21-D$19</f>
        <v>4</v>
      </c>
      <c r="AF86" s="92">
        <f>V$17+K$21+B$19</f>
        <v>5</v>
      </c>
      <c r="AG86" s="1">
        <f>AD86+(AE86/100)+(AF86/10000)+0.00004</f>
        <v>9.04054</v>
      </c>
      <c r="AH86" s="71" t="s">
        <v>176</v>
      </c>
      <c r="AI86" s="1" t="s">
        <v>70</v>
      </c>
      <c r="AJ86" s="92">
        <f>Z$19+P$19+G$21</f>
        <v>7</v>
      </c>
      <c r="AK86" s="92">
        <f>AL86-M$19-D$21-T$19</f>
        <v>2</v>
      </c>
      <c r="AL86" s="92">
        <f>V$19+K$19+B$21</f>
        <v>3</v>
      </c>
      <c r="AM86" s="1">
        <f>AJ86+(AK86/100)+(AL86/10000)+0.00004</f>
        <v>7.02034</v>
      </c>
      <c r="AN86" s="71" t="s">
        <v>176</v>
      </c>
      <c r="AO86" s="1" t="s">
        <v>100</v>
      </c>
      <c r="AP86" s="92">
        <f>Z$35+P$29+G$29</f>
        <v>7</v>
      </c>
      <c r="AQ86" s="92">
        <f>AR86-T$35-M$29-D$29</f>
        <v>3</v>
      </c>
      <c r="AR86" s="92">
        <f>V$35+K$29+B$29</f>
        <v>4</v>
      </c>
      <c r="AS86" s="92">
        <f>AP86+(AQ86/100)+(AR86/10000)+0.00004</f>
        <v>7.0304400000000005</v>
      </c>
      <c r="AT86" s="71" t="s">
        <v>176</v>
      </c>
      <c r="AU86" s="1" t="s">
        <v>92</v>
      </c>
      <c r="AV86" s="92">
        <f>Z$33+P$27+G$27</f>
        <v>9</v>
      </c>
      <c r="AW86" s="92">
        <f>AX86-T$33-M$27-D$27</f>
        <v>6</v>
      </c>
      <c r="AX86" s="92">
        <f>V$33+K$27+B$27</f>
        <v>7</v>
      </c>
      <c r="AY86" s="1">
        <f>AV86+(AW86/100)+(AX86/10000)+0.00004</f>
        <v>9.0607400000000009</v>
      </c>
      <c r="AZ86" s="1"/>
      <c r="BA86" s="1"/>
      <c r="BB86" s="71" t="s">
        <v>193</v>
      </c>
      <c r="BC86" s="1" t="str">
        <f t="shared" ref="BC86:BF86" si="59">AC$10</f>
        <v>Escócia</v>
      </c>
      <c r="BD86" s="1">
        <f t="shared" si="59"/>
        <v>4</v>
      </c>
      <c r="BE86" s="1">
        <f t="shared" si="59"/>
        <v>0</v>
      </c>
      <c r="BF86" s="1">
        <f t="shared" si="59"/>
        <v>4</v>
      </c>
      <c r="BG86" s="71">
        <f>BD86+(BE86/100)+(BF86/10000)+0.00001</f>
        <v>4.0004099999999996</v>
      </c>
      <c r="BH86" s="1" t="s">
        <v>194</v>
      </c>
    </row>
    <row r="87" spans="1:60" ht="15.75" customHeight="1">
      <c r="A87" s="70" t="str">
        <f>AI20</f>
        <v>Espanha</v>
      </c>
      <c r="B87" s="71">
        <v>0</v>
      </c>
      <c r="C87" s="95" t="s">
        <v>12</v>
      </c>
      <c r="D87" s="72">
        <v>1</v>
      </c>
      <c r="E87" s="73" t="str">
        <f>AI27</f>
        <v>Argentina</v>
      </c>
      <c r="F87" s="17" t="s">
        <v>14</v>
      </c>
      <c r="G87" s="72"/>
      <c r="H87" s="1"/>
      <c r="I87" s="1"/>
      <c r="J87" s="71"/>
      <c r="K87" s="1"/>
      <c r="L87" s="1"/>
      <c r="M87" s="1"/>
      <c r="N87" s="1"/>
      <c r="O87" s="17"/>
      <c r="P87" s="1"/>
      <c r="Q87" s="1"/>
      <c r="R87" s="1"/>
      <c r="S87" s="118" t="s">
        <v>195</v>
      </c>
      <c r="T87" s="106"/>
      <c r="U87" s="106"/>
      <c r="V87" s="106"/>
      <c r="W87" s="106"/>
      <c r="X87" s="8">
        <v>46218</v>
      </c>
      <c r="Y87" s="1"/>
      <c r="Z87" s="1"/>
      <c r="AA87" s="1"/>
      <c r="AB87" s="71" t="s">
        <v>178</v>
      </c>
      <c r="AC87" s="1" t="s">
        <v>56</v>
      </c>
      <c r="AD87" s="92">
        <f>Z$15+Q$21+G$23</f>
        <v>3</v>
      </c>
      <c r="AE87" s="92">
        <f>AF87-T$15-K$21-D$23</f>
        <v>-3</v>
      </c>
      <c r="AF87" s="92">
        <f>V$15+M$21+B$23</f>
        <v>1</v>
      </c>
      <c r="AG87" s="1">
        <f>AD87+(AE87/100)+(AF87/10000)+0.00002</f>
        <v>2.9701200000000005</v>
      </c>
      <c r="AH87" s="71" t="s">
        <v>178</v>
      </c>
      <c r="AI87" s="1" t="s">
        <v>79</v>
      </c>
      <c r="AJ87" s="92">
        <f>Y$21+Q$25+H$21</f>
        <v>5</v>
      </c>
      <c r="AK87" s="92">
        <f>AL87-V$21-K$25-B$21</f>
        <v>1</v>
      </c>
      <c r="AL87" s="92">
        <f>M$25+T$21+D$21</f>
        <v>2</v>
      </c>
      <c r="AM87" s="92">
        <f>AJ87+(AK87/100)+(AL87/10000)+0.00003</f>
        <v>5.01023</v>
      </c>
      <c r="AN87" s="71" t="s">
        <v>178</v>
      </c>
      <c r="AO87" s="1" t="s">
        <v>102</v>
      </c>
      <c r="AP87" s="92">
        <f>Z$37+Q$29+G$33</f>
        <v>1</v>
      </c>
      <c r="AQ87" s="92">
        <f>AR87-T$37-K$29-D$33</f>
        <v>-2</v>
      </c>
      <c r="AR87" s="92">
        <f>V$37+M$29+B$33</f>
        <v>1</v>
      </c>
      <c r="AS87" s="92">
        <f>AP87+(AQ87/100)+(AR87/10000)+0.00002</f>
        <v>0.98011999999999999</v>
      </c>
      <c r="AT87" s="71" t="s">
        <v>178</v>
      </c>
      <c r="AU87" s="1" t="s">
        <v>108</v>
      </c>
      <c r="AV87" s="92">
        <f>Y$33+P$31+H$31</f>
        <v>3</v>
      </c>
      <c r="AW87" s="92">
        <f>AX87-V$33-M$31-B$31</f>
        <v>-3</v>
      </c>
      <c r="AX87" s="92">
        <f>T$33+K$31+D$31</f>
        <v>3</v>
      </c>
      <c r="AY87" s="1">
        <f>AV87+(AW87/100)+(AX87/10000)+0.00001</f>
        <v>2.9703100000000004</v>
      </c>
      <c r="AZ87" s="1"/>
      <c r="BA87" s="1"/>
      <c r="BB87" s="71" t="s">
        <v>196</v>
      </c>
      <c r="BC87" s="1" t="str">
        <f t="shared" ref="BC87:BF87" si="60">AC$22</f>
        <v>Egito</v>
      </c>
      <c r="BD87" s="1">
        <f t="shared" si="60"/>
        <v>3</v>
      </c>
      <c r="BE87" s="1">
        <f t="shared" si="60"/>
        <v>0</v>
      </c>
      <c r="BF87" s="1">
        <f t="shared" si="60"/>
        <v>4</v>
      </c>
      <c r="BG87" s="71">
        <f>BD87+(BE87/100)+(BF87/10000)+0.000006</f>
        <v>3.0004059999999999</v>
      </c>
      <c r="BH87" s="1" t="s">
        <v>197</v>
      </c>
    </row>
    <row r="88" spans="1:60" ht="15.75" customHeight="1">
      <c r="A88" s="74" t="s">
        <v>156</v>
      </c>
      <c r="B88" s="71"/>
      <c r="C88" s="95" t="s">
        <v>157</v>
      </c>
      <c r="D88" s="72"/>
      <c r="E88" s="73"/>
      <c r="F88" s="72"/>
      <c r="G88" s="72"/>
      <c r="H88" s="1"/>
      <c r="I88" s="1"/>
      <c r="J88" s="121" t="s">
        <v>198</v>
      </c>
      <c r="K88" s="106"/>
      <c r="L88" s="106"/>
      <c r="M88" s="106"/>
      <c r="N88" s="106"/>
      <c r="O88" s="72"/>
      <c r="P88" s="1"/>
      <c r="Q88" s="1"/>
      <c r="R88" s="1"/>
      <c r="S88" s="77" t="str">
        <f>IF(K96 = "", "", IF(K96 &gt; M96, J96, IF(M96 &gt; K96, N96, IF(M97 &gt; K97, N96, J96))))</f>
        <v>Brasil</v>
      </c>
      <c r="T88" s="76">
        <v>1</v>
      </c>
      <c r="U88" s="94" t="s">
        <v>12</v>
      </c>
      <c r="V88" s="72">
        <v>1</v>
      </c>
      <c r="W88" s="78" t="str">
        <f>IF(K99 = "", "", IF(K99 &gt; M99, J99, IF(M99 &gt; K99, N99, IF(M100 &gt; K100, N99, J99))))</f>
        <v>Portugal</v>
      </c>
      <c r="X88" s="17" t="s">
        <v>14</v>
      </c>
      <c r="Y88" s="1"/>
      <c r="Z88" s="1"/>
      <c r="AA88" s="1"/>
      <c r="AB88" s="71" t="s">
        <v>180</v>
      </c>
      <c r="AC88" s="1" t="s">
        <v>64</v>
      </c>
      <c r="AD88" s="92">
        <f>Y$17+P$23+H$23</f>
        <v>3</v>
      </c>
      <c r="AE88" s="92">
        <f>AF88-V$17-M$23-B$23</f>
        <v>0</v>
      </c>
      <c r="AF88" s="92">
        <f>T$17+K$23+D$23</f>
        <v>3</v>
      </c>
      <c r="AG88" s="1">
        <f>AD88+(AE88/100)+(AF88/10000)+0.00001</f>
        <v>3.0003100000000003</v>
      </c>
      <c r="AH88" s="71" t="s">
        <v>180</v>
      </c>
      <c r="AI88" s="1" t="s">
        <v>71</v>
      </c>
      <c r="AJ88" s="92">
        <f>G$25+Z$21+Q$19</f>
        <v>0</v>
      </c>
      <c r="AK88" s="92">
        <f>AL88-T$21-K$19-D$25</f>
        <v>-3</v>
      </c>
      <c r="AL88" s="92">
        <f>V$21+M$19+B$25</f>
        <v>2</v>
      </c>
      <c r="AM88" s="92">
        <f>AJ88+(AK88/100)+(AL88/10000)+0.00002</f>
        <v>-2.9780000000000001E-2</v>
      </c>
      <c r="AN88" s="71" t="s">
        <v>180</v>
      </c>
      <c r="AO88" s="1" t="s">
        <v>101</v>
      </c>
      <c r="AP88" s="92">
        <f>Y$37+Q$33+H$29</f>
        <v>3</v>
      </c>
      <c r="AQ88" s="92">
        <f>AR88-V$37-K$33-B$29</f>
        <v>0</v>
      </c>
      <c r="AR88" s="92">
        <f>T$37+M$33+D$29</f>
        <v>4</v>
      </c>
      <c r="AS88" s="92">
        <f>AP88+(AQ88/100)+(AR88/10000)+0.00003</f>
        <v>3.0004300000000002</v>
      </c>
      <c r="AT88" s="71" t="s">
        <v>180</v>
      </c>
      <c r="AU88" s="1" t="s">
        <v>94</v>
      </c>
      <c r="AV88" s="92">
        <f>Z$31+Q$27+G$31</f>
        <v>3</v>
      </c>
      <c r="AW88" s="92">
        <f>AX88-T$31-K$27-D$31</f>
        <v>-2</v>
      </c>
      <c r="AX88" s="92">
        <f>V$31+M$27+B$31</f>
        <v>3</v>
      </c>
      <c r="AY88" s="1">
        <f>AV88+(AW88/100)+(AX88/10000)+0.00002</f>
        <v>2.9803200000000003</v>
      </c>
      <c r="AZ88" s="1"/>
      <c r="BA88" s="1"/>
      <c r="BB88" s="71" t="s">
        <v>199</v>
      </c>
      <c r="BC88" s="1" t="str">
        <f t="shared" ref="BC88:BF88" si="61">AC$34</f>
        <v>Uzbequistão</v>
      </c>
      <c r="BD88" s="1">
        <f t="shared" si="61"/>
        <v>6</v>
      </c>
      <c r="BE88" s="1">
        <f t="shared" si="61"/>
        <v>0</v>
      </c>
      <c r="BF88" s="1">
        <f t="shared" si="61"/>
        <v>3</v>
      </c>
      <c r="BG88" s="71">
        <f>BD88+(BE88/100)+(BF88/10000)+0.000002</f>
        <v>6.0003020000000005</v>
      </c>
      <c r="BH88" s="1" t="s">
        <v>200</v>
      </c>
    </row>
    <row r="89" spans="1:60" ht="15.75" customHeight="1">
      <c r="A89" s="107" t="s">
        <v>201</v>
      </c>
      <c r="B89" s="106"/>
      <c r="C89" s="106"/>
      <c r="D89" s="106"/>
      <c r="E89" s="106"/>
      <c r="F89" s="8">
        <v>46206</v>
      </c>
      <c r="G89" s="72"/>
      <c r="H89" s="1"/>
      <c r="I89" s="1"/>
      <c r="J89" s="118" t="s">
        <v>202</v>
      </c>
      <c r="K89" s="106"/>
      <c r="L89" s="106"/>
      <c r="M89" s="106"/>
      <c r="N89" s="106"/>
      <c r="O89" s="8">
        <v>46212</v>
      </c>
      <c r="P89" s="1"/>
      <c r="Q89" s="1"/>
      <c r="R89" s="1"/>
      <c r="S89" s="77" t="s">
        <v>156</v>
      </c>
      <c r="T89" s="76">
        <v>4</v>
      </c>
      <c r="U89" s="94" t="s">
        <v>157</v>
      </c>
      <c r="V89" s="72">
        <v>5</v>
      </c>
      <c r="W89" s="78"/>
      <c r="X89" s="72"/>
      <c r="Y89" s="1"/>
      <c r="Z89" s="1"/>
      <c r="AA89" s="1"/>
      <c r="AB89" s="71" t="s">
        <v>185</v>
      </c>
      <c r="AC89" s="1" t="s">
        <v>55</v>
      </c>
      <c r="AD89" s="92">
        <f>H$19+Q$23+Y$15</f>
        <v>3</v>
      </c>
      <c r="AE89" s="92">
        <f>AF89-V$15-K$23-B$19</f>
        <v>-1</v>
      </c>
      <c r="AF89" s="92">
        <f>T$15+M$23+D$19</f>
        <v>2</v>
      </c>
      <c r="AG89" s="1">
        <f>AD89+(AE89/100)+(AF89/10000)+0.00003</f>
        <v>2.9902300000000004</v>
      </c>
      <c r="AH89" s="71" t="s">
        <v>185</v>
      </c>
      <c r="AI89" s="1" t="s">
        <v>72</v>
      </c>
      <c r="AJ89" s="92">
        <f>Y$19+P$25+H$25</f>
        <v>4</v>
      </c>
      <c r="AK89" s="92">
        <f>AL89-V$19-M$25-B$25</f>
        <v>0</v>
      </c>
      <c r="AL89" s="92">
        <f>T$19+K$25+D$25</f>
        <v>3</v>
      </c>
      <c r="AM89" s="92">
        <f>AJ89+(AK89/100)+(AL89/10000)+0.00001</f>
        <v>4.0003099999999998</v>
      </c>
      <c r="AN89" s="71" t="s">
        <v>185</v>
      </c>
      <c r="AO89" s="1" t="s">
        <v>114</v>
      </c>
      <c r="AP89" s="92">
        <f>Y$35+P$33+H$33</f>
        <v>4</v>
      </c>
      <c r="AQ89" s="92">
        <f>AR89-V$35-M$33-B$33</f>
        <v>-1</v>
      </c>
      <c r="AR89" s="92">
        <f>T$35+K$33+D$33</f>
        <v>3</v>
      </c>
      <c r="AS89" s="92">
        <f>AP89+(AQ89/100)+(AR89/10000)+0.00001</f>
        <v>3.9903100000000005</v>
      </c>
      <c r="AT89" s="71" t="s">
        <v>185</v>
      </c>
      <c r="AU89" s="1" t="s">
        <v>93</v>
      </c>
      <c r="AV89" s="92">
        <f>Y$31+Q$31+H$27</f>
        <v>3</v>
      </c>
      <c r="AW89" s="92">
        <f>AX89-V$31-K$31-B$27</f>
        <v>-1</v>
      </c>
      <c r="AX89" s="92">
        <f>T$31+M$31+D$27</f>
        <v>2</v>
      </c>
      <c r="AY89" s="1">
        <f>AV89+(AW89/100)+(AX89/10000)+0.00003</f>
        <v>2.9902300000000004</v>
      </c>
      <c r="AZ89" s="1"/>
      <c r="BA89" s="1"/>
      <c r="BB89" s="71" t="s">
        <v>203</v>
      </c>
      <c r="BC89" s="1" t="str">
        <f t="shared" ref="BC89:BF89" si="62">AI$10</f>
        <v>Austrália</v>
      </c>
      <c r="BD89" s="1">
        <f t="shared" si="62"/>
        <v>4</v>
      </c>
      <c r="BE89" s="1">
        <f t="shared" si="62"/>
        <v>0</v>
      </c>
      <c r="BF89" s="1">
        <f t="shared" si="62"/>
        <v>1</v>
      </c>
      <c r="BG89" s="71">
        <f>BD89+(BE89/100)+(BF89/10000)+0.000009</f>
        <v>4.0001090000000001</v>
      </c>
      <c r="BH89" s="1" t="s">
        <v>204</v>
      </c>
    </row>
    <row r="90" spans="1:60" ht="15.75" customHeight="1">
      <c r="A90" s="70" t="str">
        <f>AI2</f>
        <v>Canadá</v>
      </c>
      <c r="B90" s="71">
        <v>2</v>
      </c>
      <c r="C90" s="95" t="s">
        <v>12</v>
      </c>
      <c r="D90" s="72">
        <v>1</v>
      </c>
      <c r="E90" s="73" t="str">
        <f t="array" ref="E90">INDEX($AC$38:$AC$49, MATCH( RIGHT(INDEX(Matriz!C:C, MATCH(BI1, Matriz!J:J, 0)), 1), $AG$38:$AG$49, 0))</f>
        <v>Egito</v>
      </c>
      <c r="F90" s="17" t="s">
        <v>63</v>
      </c>
      <c r="G90" s="72"/>
      <c r="H90" s="1"/>
      <c r="I90" s="1"/>
      <c r="J90" s="77" t="str">
        <f>IF(K63 = "", "", IF(K63 &gt; M63, J63, IF(M63 &gt; K63, N63, IF(M64 &gt; K64, N63, J63))))</f>
        <v>Alemanha</v>
      </c>
      <c r="K90" s="76">
        <v>2</v>
      </c>
      <c r="L90" s="94" t="s">
        <v>12</v>
      </c>
      <c r="M90" s="76">
        <v>0</v>
      </c>
      <c r="N90" s="78" t="str">
        <f>IF(K66 = "", "", IF(K66 &gt; M66, J66, IF(M66 &gt; K66, N66, IF(M67 &gt; K67, N66, J66))))</f>
        <v>Bósnia e H.</v>
      </c>
      <c r="O90" s="17" t="s">
        <v>57</v>
      </c>
      <c r="P90" s="1"/>
      <c r="Q90" s="1"/>
      <c r="R90" s="1"/>
      <c r="S90" s="77"/>
      <c r="T90" s="78"/>
      <c r="U90" s="77"/>
      <c r="V90" s="79"/>
      <c r="W90" s="78"/>
      <c r="X90" s="72"/>
      <c r="Y90" s="1"/>
      <c r="Z90" s="1"/>
      <c r="AA90" s="1"/>
      <c r="AB90" s="71"/>
      <c r="AC90" s="71"/>
      <c r="AD90" s="92"/>
      <c r="AE90" s="92"/>
      <c r="AF90" s="92"/>
      <c r="AG90" s="1"/>
      <c r="AH90" s="71"/>
      <c r="AI90" s="1"/>
      <c r="AJ90" s="92"/>
      <c r="AK90" s="92"/>
      <c r="AL90" s="92"/>
      <c r="AM90" s="92"/>
      <c r="AN90" s="71"/>
      <c r="AO90" s="72"/>
      <c r="AP90" s="92"/>
      <c r="AQ90" s="92"/>
      <c r="AR90" s="92"/>
      <c r="AS90" s="92"/>
      <c r="AT90" s="71"/>
      <c r="AU90" s="1"/>
      <c r="AV90" s="92"/>
      <c r="AW90" s="92"/>
      <c r="AX90" s="92"/>
      <c r="AY90" s="1"/>
      <c r="AZ90" s="1"/>
      <c r="BA90" s="1"/>
      <c r="BB90" s="71" t="s">
        <v>205</v>
      </c>
      <c r="BC90" s="1" t="str">
        <f t="shared" ref="BC90:BF90" si="63">AI$22</f>
        <v>Arábia Saudita</v>
      </c>
      <c r="BD90" s="1">
        <f t="shared" si="63"/>
        <v>3</v>
      </c>
      <c r="BE90" s="1">
        <f t="shared" si="63"/>
        <v>-2</v>
      </c>
      <c r="BF90" s="1">
        <f t="shared" si="63"/>
        <v>3</v>
      </c>
      <c r="BG90" s="71">
        <f>BD90+(BE90/100)+(BF90/10000)+0.000005</f>
        <v>2.980305</v>
      </c>
      <c r="BH90" s="1" t="s">
        <v>206</v>
      </c>
    </row>
    <row r="91" spans="1:60" ht="15.75" customHeight="1">
      <c r="A91" s="74" t="s">
        <v>156</v>
      </c>
      <c r="B91" s="71"/>
      <c r="C91" s="95" t="s">
        <v>157</v>
      </c>
      <c r="D91" s="72"/>
      <c r="E91" s="73"/>
      <c r="F91" s="72"/>
      <c r="G91" s="72"/>
      <c r="H91" s="1"/>
      <c r="I91" s="1"/>
      <c r="J91" s="77" t="s">
        <v>156</v>
      </c>
      <c r="K91" s="1"/>
      <c r="L91" s="94" t="s">
        <v>157</v>
      </c>
      <c r="M91" s="1"/>
      <c r="N91" s="78"/>
      <c r="O91" s="72"/>
      <c r="P91" s="1"/>
      <c r="Q91" s="1"/>
      <c r="R91" s="1"/>
      <c r="S91" s="71"/>
      <c r="T91" s="1"/>
      <c r="U91" s="71"/>
      <c r="V91" s="72"/>
      <c r="W91" s="1"/>
      <c r="X91" s="72"/>
      <c r="Y91" s="1"/>
      <c r="Z91" s="1"/>
      <c r="AA91" s="1"/>
      <c r="AB91" s="71"/>
      <c r="AC91" s="92" t="s">
        <v>87</v>
      </c>
      <c r="AD91" s="92" t="s">
        <v>4</v>
      </c>
      <c r="AE91" s="92" t="s">
        <v>5</v>
      </c>
      <c r="AF91" s="92" t="s">
        <v>6</v>
      </c>
      <c r="AG91" s="1"/>
      <c r="AH91" s="71"/>
      <c r="AI91" s="92" t="s">
        <v>88</v>
      </c>
      <c r="AJ91" s="92" t="s">
        <v>4</v>
      </c>
      <c r="AK91" s="92" t="s">
        <v>5</v>
      </c>
      <c r="AL91" s="92" t="s">
        <v>6</v>
      </c>
      <c r="AM91" s="92"/>
      <c r="AN91" s="71"/>
      <c r="AO91" s="92" t="s">
        <v>109</v>
      </c>
      <c r="AP91" s="92" t="s">
        <v>4</v>
      </c>
      <c r="AQ91" s="92" t="s">
        <v>5</v>
      </c>
      <c r="AR91" s="92" t="s">
        <v>6</v>
      </c>
      <c r="AS91" s="92"/>
      <c r="AT91" s="71"/>
      <c r="AU91" s="92" t="s">
        <v>110</v>
      </c>
      <c r="AV91" s="92" t="s">
        <v>4</v>
      </c>
      <c r="AW91" s="92" t="s">
        <v>5</v>
      </c>
      <c r="AX91" s="92" t="s">
        <v>6</v>
      </c>
      <c r="AY91" s="1"/>
      <c r="AZ91" s="1"/>
      <c r="BA91" s="1"/>
      <c r="BB91" s="71" t="s">
        <v>207</v>
      </c>
      <c r="BC91" s="1" t="str">
        <f t="shared" ref="BC91:BF91" si="64">AI$34</f>
        <v>Gana</v>
      </c>
      <c r="BD91" s="1">
        <f t="shared" si="64"/>
        <v>1</v>
      </c>
      <c r="BE91" s="1">
        <f t="shared" si="64"/>
        <v>-2</v>
      </c>
      <c r="BF91" s="1">
        <f t="shared" si="64"/>
        <v>2</v>
      </c>
      <c r="BG91" s="71">
        <f>BD91+(BE91/100)+(BF91/10000)+0.000001</f>
        <v>0.98020099999999999</v>
      </c>
      <c r="BH91" s="1" t="s">
        <v>208</v>
      </c>
    </row>
    <row r="92" spans="1:60" ht="15.75" customHeight="1">
      <c r="A92" s="107" t="s">
        <v>209</v>
      </c>
      <c r="B92" s="106"/>
      <c r="C92" s="106"/>
      <c r="D92" s="106"/>
      <c r="E92" s="106"/>
      <c r="F92" s="8">
        <v>46206</v>
      </c>
      <c r="G92" s="72"/>
      <c r="H92" s="1"/>
      <c r="I92" s="1"/>
      <c r="J92" s="118" t="s">
        <v>210</v>
      </c>
      <c r="K92" s="106"/>
      <c r="L92" s="106"/>
      <c r="M92" s="106"/>
      <c r="N92" s="106"/>
      <c r="O92" s="8">
        <v>46213</v>
      </c>
      <c r="P92" s="1"/>
      <c r="Q92" s="1"/>
      <c r="R92" s="1"/>
      <c r="S92" s="122" t="s">
        <v>211</v>
      </c>
      <c r="T92" s="106"/>
      <c r="U92" s="106"/>
      <c r="V92" s="106"/>
      <c r="W92" s="106"/>
      <c r="X92" s="8">
        <v>46221</v>
      </c>
      <c r="Y92" s="1"/>
      <c r="Z92" s="1"/>
      <c r="AA92" s="1"/>
      <c r="AB92" s="71" t="s">
        <v>176</v>
      </c>
      <c r="AC92" s="1" t="s">
        <v>96</v>
      </c>
      <c r="AD92" s="92">
        <f>Z$27+P$37+G$35</f>
        <v>9</v>
      </c>
      <c r="AE92" s="92">
        <f>AF92-T$27-D$35-M$37</f>
        <v>7</v>
      </c>
      <c r="AF92" s="92">
        <f>V$27+K$37+B$35</f>
        <v>7</v>
      </c>
      <c r="AG92" s="1">
        <f>AD92+(AE92/100)+(AF92/10000)+0.00004</f>
        <v>9.0707400000000007</v>
      </c>
      <c r="AH92" s="71" t="s">
        <v>176</v>
      </c>
      <c r="AI92" s="1" t="s">
        <v>118</v>
      </c>
      <c r="AJ92" s="92">
        <f>Z$49+P$35+G$39</f>
        <v>3</v>
      </c>
      <c r="AK92" s="92">
        <f>AL92-T$49-M$35-D$39</f>
        <v>0</v>
      </c>
      <c r="AL92" s="92">
        <f>V$49+K$35+B$39</f>
        <v>3</v>
      </c>
      <c r="AM92" s="92">
        <f>AJ92+(AK92/100)+(AL92/10000)+0.00004</f>
        <v>3.00034</v>
      </c>
      <c r="AN92" s="71" t="s">
        <v>176</v>
      </c>
      <c r="AO92" s="1" t="s">
        <v>140</v>
      </c>
      <c r="AP92" s="92">
        <f>G$43+P$43+Z$43</f>
        <v>6</v>
      </c>
      <c r="AQ92" s="92">
        <f>AR92-T$43-M$43-D$43</f>
        <v>5</v>
      </c>
      <c r="AR92" s="92">
        <f>V$43+K$43+B$43</f>
        <v>9</v>
      </c>
      <c r="AS92" s="92">
        <f>AP92+(AQ92/100)+(AR92/10000)+0.00004</f>
        <v>6.0509399999999998</v>
      </c>
      <c r="AT92" s="71" t="s">
        <v>176</v>
      </c>
      <c r="AU92" s="1" t="s">
        <v>130</v>
      </c>
      <c r="AV92" s="92">
        <f>Z$39+P$45+G$45</f>
        <v>6</v>
      </c>
      <c r="AW92" s="92">
        <f>AX92-T$39-M$45-D$45</f>
        <v>2</v>
      </c>
      <c r="AX92" s="92">
        <f>V$39+K$45+B$45</f>
        <v>3</v>
      </c>
      <c r="AY92" s="1">
        <f>AV92+(AW92/100)+(AX92/10000)+0.00004</f>
        <v>6.02034</v>
      </c>
      <c r="AZ92" s="1"/>
      <c r="BA92" s="1"/>
      <c r="BB92" s="1"/>
      <c r="BC92" s="1"/>
      <c r="BD92" s="1"/>
      <c r="BE92" s="1"/>
      <c r="BF92" s="1"/>
      <c r="BG92" s="71"/>
      <c r="BH92" s="1"/>
    </row>
    <row r="93" spans="1:60" ht="15.75" customHeight="1">
      <c r="A93" s="70" t="str">
        <f>AI26</f>
        <v>Argélia</v>
      </c>
      <c r="B93" s="71">
        <v>1</v>
      </c>
      <c r="C93" s="95" t="s">
        <v>12</v>
      </c>
      <c r="D93" s="72">
        <v>2</v>
      </c>
      <c r="E93" s="73" t="str">
        <f>AI21</f>
        <v>Cabo Verde</v>
      </c>
      <c r="F93" s="17" t="s">
        <v>29</v>
      </c>
      <c r="G93" s="72"/>
      <c r="H93" s="1"/>
      <c r="I93" s="1"/>
      <c r="J93" s="77" t="str">
        <f>IF(K75 = "", "", IF(K75 &gt; M75, J75, IF(M75 &gt; K75, N75, IF(M76 &gt; K76, N75, J75))))</f>
        <v>Argentina</v>
      </c>
      <c r="K93" s="76">
        <v>1</v>
      </c>
      <c r="L93" s="94" t="s">
        <v>12</v>
      </c>
      <c r="M93" s="76">
        <v>0</v>
      </c>
      <c r="N93" s="78" t="str">
        <f>IF(K78 = "", "", IF(K78 &gt; M78, J78, IF(M78 &gt; K78, N78, IF(M79 &gt; K79, N78, J78))))</f>
        <v>Bélgica</v>
      </c>
      <c r="O93" s="17" t="s">
        <v>14</v>
      </c>
      <c r="P93" s="1"/>
      <c r="Q93" s="1"/>
      <c r="R93" s="1"/>
      <c r="S93" s="80" t="str">
        <f>IF(T85 = "", "", IF(T85 &lt; V85, S85, IF(V85 &lt; T85, W85, IF(T86 &lt; V86, S85, W85))))</f>
        <v>Argentina</v>
      </c>
      <c r="T93" s="76">
        <v>2</v>
      </c>
      <c r="U93" s="81" t="s">
        <v>12</v>
      </c>
      <c r="V93" s="72">
        <v>2</v>
      </c>
      <c r="W93" s="82" t="str">
        <f>IF(T88 = "", "", IF(T88 &lt; V88, S88, IF(V88 &lt; T88, W88, IF(T89 &lt; V89, S88, W88))))</f>
        <v>Brasil</v>
      </c>
      <c r="X93" s="17" t="s">
        <v>123</v>
      </c>
      <c r="Y93" s="1"/>
      <c r="Z93" s="1"/>
      <c r="AA93" s="1"/>
      <c r="AB93" s="71" t="s">
        <v>178</v>
      </c>
      <c r="AC93" s="1" t="s">
        <v>95</v>
      </c>
      <c r="AD93" s="92">
        <f>Y$27+P$39+H$37</f>
        <v>0</v>
      </c>
      <c r="AE93" s="92">
        <f>AF93-V$27-B$37-M$39</f>
        <v>-5</v>
      </c>
      <c r="AF93" s="92">
        <f>T$27+K$39+D$37</f>
        <v>1</v>
      </c>
      <c r="AG93" s="1">
        <f>AD93+(AE93/100)+(AF93/10000)+0.00001</f>
        <v>-4.9889999999999997E-2</v>
      </c>
      <c r="AH93" s="71" t="s">
        <v>178</v>
      </c>
      <c r="AI93" s="1" t="s">
        <v>119</v>
      </c>
      <c r="AJ93" s="92">
        <f>Z$47+Q$35+G$41</f>
        <v>3</v>
      </c>
      <c r="AK93" s="92">
        <f>AL93-T$47-K$35-D$41</f>
        <v>-1</v>
      </c>
      <c r="AL93" s="92">
        <f>V$47+M$35+B$41</f>
        <v>1</v>
      </c>
      <c r="AM93" s="92">
        <f>AJ93+(AK93/100)+(AL93/10000)+0.00002</f>
        <v>2.9901200000000006</v>
      </c>
      <c r="AN93" s="71" t="s">
        <v>178</v>
      </c>
      <c r="AO93" s="1" t="s">
        <v>143</v>
      </c>
      <c r="AP93" s="92">
        <f>Y$43+P$49+H$49</f>
        <v>6</v>
      </c>
      <c r="AQ93" s="92">
        <f>AR93-V$43-M$49-B$49</f>
        <v>3</v>
      </c>
      <c r="AR93" s="92">
        <f>T$43+K$49+D$49</f>
        <v>7</v>
      </c>
      <c r="AS93" s="92">
        <f>AP93+(AQ93/100)+(AR93/10000)+0.00001</f>
        <v>6.03071</v>
      </c>
      <c r="AT93" s="71" t="s">
        <v>178</v>
      </c>
      <c r="AU93" s="1" t="s">
        <v>135</v>
      </c>
      <c r="AV93" s="92">
        <f>Y$41+Q$47+H$45</f>
        <v>9</v>
      </c>
      <c r="AW93" s="92">
        <f>AX93-V$41-K$47-B$45</f>
        <v>3</v>
      </c>
      <c r="AX93" s="92">
        <f>T$41+M$47+D$45</f>
        <v>4</v>
      </c>
      <c r="AY93" s="1">
        <f>AV93+(AW93/100)+(AX93/10000)+0.00003</f>
        <v>9.0304300000000008</v>
      </c>
      <c r="AZ93" s="1"/>
      <c r="BA93" s="1"/>
      <c r="BB93" s="1"/>
      <c r="BC93" s="1"/>
      <c r="BD93" s="1"/>
      <c r="BE93" s="1"/>
      <c r="BF93" s="1"/>
      <c r="BG93" s="71"/>
      <c r="BH93" s="1"/>
    </row>
    <row r="94" spans="1:60" ht="15.75" customHeight="1">
      <c r="A94" s="74" t="s">
        <v>156</v>
      </c>
      <c r="B94" s="71"/>
      <c r="C94" s="95" t="s">
        <v>157</v>
      </c>
      <c r="D94" s="72"/>
      <c r="E94" s="73"/>
      <c r="F94" s="72"/>
      <c r="G94" s="72"/>
      <c r="H94" s="1"/>
      <c r="I94" s="1"/>
      <c r="J94" s="77" t="s">
        <v>156</v>
      </c>
      <c r="K94" s="1"/>
      <c r="L94" s="94" t="s">
        <v>157</v>
      </c>
      <c r="M94" s="1"/>
      <c r="N94" s="78"/>
      <c r="O94" s="72"/>
      <c r="P94" s="1"/>
      <c r="Q94" s="1"/>
      <c r="R94" s="1"/>
      <c r="S94" s="80" t="s">
        <v>156</v>
      </c>
      <c r="T94" s="76">
        <v>3</v>
      </c>
      <c r="U94" s="81" t="s">
        <v>157</v>
      </c>
      <c r="V94" s="72">
        <v>5</v>
      </c>
      <c r="W94" s="82"/>
      <c r="X94" s="72"/>
      <c r="Y94" s="1"/>
      <c r="Z94" s="1"/>
      <c r="AA94" s="1"/>
      <c r="AB94" s="71" t="s">
        <v>180</v>
      </c>
      <c r="AC94" s="1" t="s">
        <v>103</v>
      </c>
      <c r="AD94" s="92">
        <f>Y$29+Q$39+H$35</f>
        <v>3</v>
      </c>
      <c r="AE94" s="92">
        <f>AF94-K$39-B$35-V$29</f>
        <v>-3</v>
      </c>
      <c r="AF94" s="92">
        <f>D$35+M$39+T$29</f>
        <v>2</v>
      </c>
      <c r="AG94" s="1">
        <f>AD94+(AE94/100)+(AF94/10000)+0.00003</f>
        <v>2.9702300000000004</v>
      </c>
      <c r="AH94" s="71" t="s">
        <v>180</v>
      </c>
      <c r="AI94" s="1" t="s">
        <v>128</v>
      </c>
      <c r="AJ94" s="92">
        <f>Y$47+Q$41+H$39</f>
        <v>9</v>
      </c>
      <c r="AK94" s="92">
        <f>AL94-V$47-K$41-B$39</f>
        <v>3</v>
      </c>
      <c r="AL94" s="92">
        <f>T$47+M$41+D$39</f>
        <v>4</v>
      </c>
      <c r="AM94" s="92">
        <f>AJ94+(AK94/100)+(AL94/10000)+0.00003</f>
        <v>9.0304300000000008</v>
      </c>
      <c r="AN94" s="71" t="s">
        <v>180</v>
      </c>
      <c r="AO94" s="1" t="s">
        <v>141</v>
      </c>
      <c r="AP94" s="92">
        <f>Y$45+Q$49+H$43</f>
        <v>0</v>
      </c>
      <c r="AQ94" s="92">
        <f>AR94-V$45-K$49-B$43</f>
        <v>-8</v>
      </c>
      <c r="AR94" s="92">
        <f>T$45+M$49+D$43</f>
        <v>1</v>
      </c>
      <c r="AS94" s="92">
        <f>AP94+(AQ94/100)+(AR94/10000)+0.00003</f>
        <v>-7.9869999999999997E-2</v>
      </c>
      <c r="AT94" s="71" t="s">
        <v>180</v>
      </c>
      <c r="AU94" s="1" t="s">
        <v>136</v>
      </c>
      <c r="AV94" s="92">
        <f>Z$41+Q$45+G$47</f>
        <v>1</v>
      </c>
      <c r="AW94" s="92">
        <f>AX94-T$41-K$45-D$47</f>
        <v>-2</v>
      </c>
      <c r="AX94" s="92">
        <f>V$41+M$45+B$47</f>
        <v>2</v>
      </c>
      <c r="AY94" s="1">
        <f>AV94+(AW94/100)+(AX94/10000)+0.00002</f>
        <v>0.98021999999999998</v>
      </c>
      <c r="AZ94" s="1"/>
      <c r="BA94" s="1"/>
      <c r="BB94" s="1"/>
      <c r="BC94" s="1"/>
      <c r="BD94" s="1"/>
      <c r="BE94" s="1"/>
      <c r="BF94" s="1"/>
      <c r="BG94" s="71"/>
      <c r="BH94" s="1"/>
    </row>
    <row r="95" spans="1:60" ht="15.75" customHeight="1">
      <c r="A95" s="107" t="s">
        <v>212</v>
      </c>
      <c r="B95" s="106"/>
      <c r="C95" s="106"/>
      <c r="D95" s="106"/>
      <c r="E95" s="106"/>
      <c r="F95" s="8">
        <v>46206</v>
      </c>
      <c r="G95" s="72"/>
      <c r="H95" s="1"/>
      <c r="I95" s="1"/>
      <c r="J95" s="118" t="s">
        <v>213</v>
      </c>
      <c r="K95" s="106"/>
      <c r="L95" s="106"/>
      <c r="M95" s="106"/>
      <c r="N95" s="106"/>
      <c r="O95" s="8">
        <v>46214</v>
      </c>
      <c r="P95" s="1"/>
      <c r="Q95" s="1"/>
      <c r="R95" s="1"/>
      <c r="S95" s="71"/>
      <c r="T95" s="1"/>
      <c r="U95" s="71"/>
      <c r="V95" s="72"/>
      <c r="W95" s="1"/>
      <c r="X95" s="8"/>
      <c r="Y95" s="1"/>
      <c r="Z95" s="1"/>
      <c r="AA95" s="1"/>
      <c r="AB95" s="71" t="s">
        <v>185</v>
      </c>
      <c r="AC95" s="1" t="s">
        <v>104</v>
      </c>
      <c r="AD95" s="92">
        <f>Z$29+Q$37+G$37</f>
        <v>6</v>
      </c>
      <c r="AE95" s="92">
        <f>AF95-T$29-K$37-D$37</f>
        <v>1</v>
      </c>
      <c r="AF95" s="92">
        <f>V$29+M$37+B$37</f>
        <v>4</v>
      </c>
      <c r="AG95" s="1">
        <f>AD95+(AE95/100)+(AF95/10000)+0.00002</f>
        <v>6.0104199999999999</v>
      </c>
      <c r="AH95" s="71" t="s">
        <v>185</v>
      </c>
      <c r="AI95" s="1" t="s">
        <v>134</v>
      </c>
      <c r="AJ95" s="92">
        <f>Y$49+P$41+H$41</f>
        <v>3</v>
      </c>
      <c r="AK95" s="92">
        <f>AL95-V$49-M$41-B$41</f>
        <v>-2</v>
      </c>
      <c r="AL95" s="92">
        <f>T$49+D$41+K$41</f>
        <v>3</v>
      </c>
      <c r="AM95" s="92">
        <f>AJ95+(AK95/100)+(AL95/10000)+0.00001</f>
        <v>2.9803100000000002</v>
      </c>
      <c r="AN95" s="71" t="s">
        <v>185</v>
      </c>
      <c r="AO95" s="1" t="s">
        <v>142</v>
      </c>
      <c r="AP95" s="92">
        <f>Z$45+Q$43+G$49</f>
        <v>6</v>
      </c>
      <c r="AQ95" s="92">
        <f>AR95-T$45-K$43-D$49</f>
        <v>0</v>
      </c>
      <c r="AR95" s="92">
        <f>V$45+M$43+B$49</f>
        <v>3</v>
      </c>
      <c r="AS95" s="92">
        <f>AP95+(AQ95/100)+(AR95/10000)+0.00002</f>
        <v>6.0003200000000003</v>
      </c>
      <c r="AT95" s="71" t="s">
        <v>185</v>
      </c>
      <c r="AU95" s="1" t="s">
        <v>129</v>
      </c>
      <c r="AV95" s="92">
        <f>Y$39+P$47+H$47</f>
        <v>1</v>
      </c>
      <c r="AW95" s="92">
        <f>AX95-V$39-M$47-B$47</f>
        <v>-3</v>
      </c>
      <c r="AX95" s="92">
        <f>T$39+K$47+D$47</f>
        <v>3</v>
      </c>
      <c r="AY95" s="92">
        <f>AV95+(AW95/100)+(AX95/10000)+0.00001</f>
        <v>0.97030999999999989</v>
      </c>
      <c r="AZ95" s="1"/>
      <c r="BA95" s="1"/>
      <c r="BB95" s="1"/>
      <c r="BC95" s="1"/>
      <c r="BD95" s="1"/>
      <c r="BE95" s="1"/>
      <c r="BF95" s="1"/>
      <c r="BG95" s="71"/>
      <c r="BH95" s="1"/>
    </row>
    <row r="96" spans="1:60" ht="15.75" customHeight="1">
      <c r="A96" s="70" t="str">
        <f>AC32</f>
        <v>Portugal</v>
      </c>
      <c r="B96" s="71">
        <v>4</v>
      </c>
      <c r="C96" s="95" t="s">
        <v>12</v>
      </c>
      <c r="D96" s="72">
        <v>0</v>
      </c>
      <c r="E96" s="73" t="str">
        <f t="array" ref="E96">INDEX($AC$38:$AC$49, MATCH( RIGHT(INDEX(Matriz!H:H, MATCH(BI1, Matriz!J:J, 0)), 1), $AG$38:$AG$49, 0))</f>
        <v>Curaçao</v>
      </c>
      <c r="F96" s="17" t="s">
        <v>214</v>
      </c>
      <c r="G96" s="72"/>
      <c r="H96" s="1"/>
      <c r="I96" s="1"/>
      <c r="J96" s="77" t="str">
        <f>IF(K69 = "", "", IF(K69 &gt; M69, J69, IF(M69 &gt; K69, N69, IF(M70 &gt; K70, N69, J69))))</f>
        <v>Brasil</v>
      </c>
      <c r="K96" s="76">
        <v>2</v>
      </c>
      <c r="L96" s="94" t="s">
        <v>12</v>
      </c>
      <c r="M96" s="76">
        <v>0</v>
      </c>
      <c r="N96" s="78" t="str">
        <f>IF(K72 = "", "", IF(K72 &gt; M72, J72, IF(M72 &gt; K72, N72, IF(M73 &gt; K73, N72, J72))))</f>
        <v>México</v>
      </c>
      <c r="O96" s="17" t="s">
        <v>123</v>
      </c>
      <c r="P96" s="1"/>
      <c r="Q96" s="1"/>
      <c r="R96" s="1"/>
      <c r="S96" s="71"/>
      <c r="T96" s="1"/>
      <c r="U96" s="71"/>
      <c r="V96" s="72"/>
      <c r="W96" s="1"/>
      <c r="X96" s="72"/>
      <c r="Y96" s="1"/>
      <c r="Z96" s="1"/>
      <c r="AA96" s="1"/>
      <c r="AB96" s="71"/>
      <c r="AC96" s="1"/>
      <c r="AD96" s="92"/>
      <c r="AE96" s="92"/>
      <c r="AF96" s="92"/>
      <c r="AG96" s="1"/>
      <c r="AH96" s="71"/>
      <c r="AI96" s="1"/>
      <c r="AJ96" s="92"/>
      <c r="AK96" s="92"/>
      <c r="AL96" s="92"/>
      <c r="AM96" s="92"/>
      <c r="AN96" s="71"/>
      <c r="AO96" s="1"/>
      <c r="AP96" s="92"/>
      <c r="AQ96" s="92"/>
      <c r="AR96" s="92"/>
      <c r="AS96" s="92"/>
      <c r="AT96" s="71"/>
      <c r="AU96" s="1"/>
      <c r="AV96" s="92"/>
      <c r="AW96" s="92"/>
      <c r="AX96" s="92"/>
      <c r="AY96" s="1"/>
      <c r="AZ96" s="1"/>
      <c r="BA96" s="1"/>
      <c r="BB96" s="1"/>
      <c r="BC96" s="1"/>
      <c r="BD96" s="1"/>
      <c r="BE96" s="1"/>
      <c r="BF96" s="1"/>
      <c r="BG96" s="71"/>
      <c r="BH96" s="1"/>
    </row>
    <row r="97" spans="1:59" ht="15.75" customHeight="1">
      <c r="A97" s="74" t="s">
        <v>156</v>
      </c>
      <c r="B97" s="71"/>
      <c r="C97" s="95" t="s">
        <v>157</v>
      </c>
      <c r="D97" s="72"/>
      <c r="E97" s="73"/>
      <c r="F97" s="72"/>
      <c r="G97" s="72"/>
      <c r="H97" s="1"/>
      <c r="I97" s="1"/>
      <c r="J97" s="77" t="s">
        <v>156</v>
      </c>
      <c r="K97" s="1"/>
      <c r="L97" s="94" t="s">
        <v>157</v>
      </c>
      <c r="M97" s="1"/>
      <c r="N97" s="78"/>
      <c r="O97" s="72"/>
      <c r="P97" s="1"/>
      <c r="Q97" s="1"/>
      <c r="R97" s="1"/>
      <c r="S97" s="71"/>
      <c r="T97" s="1"/>
      <c r="U97" s="71"/>
      <c r="V97" s="72"/>
      <c r="W97" s="1"/>
      <c r="X97" s="72"/>
      <c r="Y97" s="1"/>
      <c r="Z97" s="1"/>
      <c r="AA97" s="1"/>
      <c r="AB97" s="71"/>
      <c r="AC97" s="1"/>
      <c r="AD97" s="92"/>
      <c r="AE97" s="92"/>
      <c r="AF97" s="92"/>
      <c r="AG97" s="93"/>
      <c r="AH97" s="71"/>
      <c r="AI97" s="93"/>
      <c r="AJ97" s="92"/>
      <c r="AK97" s="92"/>
      <c r="AL97" s="92"/>
      <c r="AM97" s="92"/>
      <c r="AN97" s="71"/>
      <c r="AO97" s="93"/>
      <c r="AP97" s="92"/>
      <c r="AQ97" s="92"/>
      <c r="AR97" s="92"/>
      <c r="AS97" s="92"/>
      <c r="AT97" s="71"/>
      <c r="AU97" s="93"/>
      <c r="AV97" s="92"/>
      <c r="AW97" s="92"/>
      <c r="AX97" s="92"/>
      <c r="AY97" s="93"/>
      <c r="AZ97" s="93"/>
      <c r="BA97" s="93"/>
      <c r="BB97" s="93"/>
      <c r="BC97" s="93"/>
      <c r="BD97" s="93"/>
      <c r="BE97" s="93"/>
      <c r="BF97" s="93"/>
      <c r="BG97" s="71"/>
    </row>
    <row r="98" spans="1:59" ht="15.75" customHeight="1">
      <c r="A98" s="107" t="s">
        <v>215</v>
      </c>
      <c r="B98" s="106"/>
      <c r="C98" s="106"/>
      <c r="D98" s="106"/>
      <c r="E98" s="106"/>
      <c r="F98" s="8">
        <v>46206</v>
      </c>
      <c r="G98" s="72"/>
      <c r="H98" s="1"/>
      <c r="I98" s="1"/>
      <c r="J98" s="118" t="s">
        <v>216</v>
      </c>
      <c r="K98" s="106"/>
      <c r="L98" s="106"/>
      <c r="M98" s="106"/>
      <c r="N98" s="106"/>
      <c r="O98" s="8">
        <v>46214</v>
      </c>
      <c r="P98" s="1"/>
      <c r="Q98" s="1"/>
      <c r="R98" s="1"/>
      <c r="S98" s="120" t="s">
        <v>217</v>
      </c>
      <c r="T98" s="106"/>
      <c r="U98" s="106"/>
      <c r="V98" s="106"/>
      <c r="W98" s="106"/>
      <c r="X98" s="8">
        <v>46222</v>
      </c>
      <c r="Y98" s="92"/>
      <c r="Z98" s="92"/>
      <c r="AA98" s="92"/>
      <c r="AB98" s="120" t="s">
        <v>218</v>
      </c>
      <c r="AC98" s="106"/>
      <c r="AD98" s="106"/>
      <c r="AE98" s="106"/>
      <c r="AF98" s="106"/>
      <c r="AG98" s="93"/>
      <c r="AH98" s="71"/>
      <c r="AI98" s="93"/>
      <c r="AJ98" s="92"/>
      <c r="AK98" s="92"/>
      <c r="AL98" s="92"/>
      <c r="AM98" s="92"/>
      <c r="AN98" s="71"/>
      <c r="AO98" s="93"/>
      <c r="AP98" s="92"/>
      <c r="AQ98" s="92"/>
      <c r="AR98" s="92"/>
      <c r="AS98" s="92"/>
      <c r="AT98" s="71"/>
      <c r="AU98" s="93"/>
      <c r="AV98" s="92"/>
      <c r="AW98" s="92"/>
      <c r="AX98" s="92"/>
      <c r="AY98" s="93"/>
      <c r="AZ98" s="93"/>
      <c r="BA98" s="93"/>
      <c r="BB98" s="93"/>
      <c r="BC98" s="93"/>
      <c r="BD98" s="93"/>
      <c r="BE98" s="93"/>
      <c r="BF98" s="93"/>
      <c r="BG98" s="71"/>
    </row>
    <row r="99" spans="1:59" ht="15.75" customHeight="1">
      <c r="A99" s="70" t="str">
        <f>AI9</f>
        <v>Estados Unidos</v>
      </c>
      <c r="B99" s="71">
        <v>0</v>
      </c>
      <c r="C99" s="95" t="s">
        <v>12</v>
      </c>
      <c r="D99" s="72">
        <v>1</v>
      </c>
      <c r="E99" s="73" t="str">
        <f>AC21</f>
        <v>Nova Zelândia</v>
      </c>
      <c r="F99" s="17" t="s">
        <v>219</v>
      </c>
      <c r="G99" s="72"/>
      <c r="H99" s="1"/>
      <c r="I99" s="1"/>
      <c r="J99" s="77" t="str">
        <f>IF(K81 = "", "", IF(K81 &gt; M81, J81, IF(M81 &gt; K81, N81, IF(M82 &gt; K82, N81, J81))))</f>
        <v>Cabo Verde</v>
      </c>
      <c r="K99" s="76">
        <v>0</v>
      </c>
      <c r="L99" s="94" t="s">
        <v>12</v>
      </c>
      <c r="M99" s="76">
        <v>2</v>
      </c>
      <c r="N99" s="78" t="str">
        <f>IF(K84 = "", "", IF(K84 &gt; M84, J84, IF(M84 &gt; K84, N84, IF(M85 &gt; K85, N84, J84))))</f>
        <v>Portugal</v>
      </c>
      <c r="O99" s="17" t="s">
        <v>39</v>
      </c>
      <c r="P99" s="1"/>
      <c r="Q99" s="1"/>
      <c r="R99" s="1"/>
      <c r="S99" s="83" t="str">
        <f>IF(T85 = "", "", IF(T85 &gt; V85, S85, IF(V85 &gt; T85, W85, IF(V86 &gt; T86, W85, S85))))</f>
        <v>Alemanha</v>
      </c>
      <c r="T99" s="76">
        <v>0</v>
      </c>
      <c r="U99" s="84" t="s">
        <v>12</v>
      </c>
      <c r="V99" s="72">
        <v>0</v>
      </c>
      <c r="W99" s="85" t="str">
        <f>IF(T88 = "", "", IF(T88 &gt; V88, S88, IF(V88 &gt; T88, W88, IF(V89 &gt; T89, W88, S88))))</f>
        <v>Portugal</v>
      </c>
      <c r="X99" s="17" t="s">
        <v>14</v>
      </c>
      <c r="Y99" s="92"/>
      <c r="Z99" s="92"/>
      <c r="AA99" s="92"/>
      <c r="AB99" s="120" t="str">
        <f>IF(T99 = "", "", IF(T99 &gt; V99, S99, IF(V99 &gt; T99, W99, IF(V100 &gt; T100, W99, S99))))</f>
        <v>Portugal</v>
      </c>
      <c r="AC99" s="106"/>
      <c r="AD99" s="106"/>
      <c r="AE99" s="106"/>
      <c r="AF99" s="106"/>
      <c r="AG99" s="93"/>
      <c r="AH99" s="71"/>
      <c r="AI99" s="93"/>
      <c r="AJ99" s="92"/>
      <c r="AK99" s="92"/>
      <c r="AL99" s="92"/>
      <c r="AM99" s="92"/>
      <c r="AN99" s="71"/>
      <c r="AO99" s="93"/>
      <c r="AP99" s="92"/>
      <c r="AQ99" s="92"/>
      <c r="AR99" s="92"/>
      <c r="AS99" s="92"/>
      <c r="AT99" s="71"/>
      <c r="AU99" s="93"/>
      <c r="AV99" s="92"/>
      <c r="AW99" s="92"/>
      <c r="AX99" s="92"/>
      <c r="AY99" s="93"/>
      <c r="AZ99" s="93"/>
      <c r="BA99" s="93"/>
      <c r="BB99" s="93"/>
      <c r="BC99" s="93"/>
      <c r="BD99" s="93"/>
      <c r="BE99" s="93"/>
      <c r="BF99" s="93"/>
      <c r="BG99" s="71"/>
    </row>
    <row r="100" spans="1:59" ht="15.75" customHeight="1">
      <c r="A100" s="74" t="s">
        <v>156</v>
      </c>
      <c r="B100" s="71"/>
      <c r="C100" s="95" t="s">
        <v>157</v>
      </c>
      <c r="D100" s="72"/>
      <c r="E100" s="73"/>
      <c r="F100" s="72"/>
      <c r="G100" s="72"/>
      <c r="H100" s="1"/>
      <c r="I100" s="1"/>
      <c r="J100" s="77" t="s">
        <v>156</v>
      </c>
      <c r="K100" s="1"/>
      <c r="L100" s="94" t="s">
        <v>157</v>
      </c>
      <c r="M100" s="1"/>
      <c r="N100" s="78"/>
      <c r="O100" s="72"/>
      <c r="P100" s="1"/>
      <c r="Q100" s="1"/>
      <c r="R100" s="1"/>
      <c r="S100" s="83" t="s">
        <v>156</v>
      </c>
      <c r="T100" s="76">
        <v>4</v>
      </c>
      <c r="U100" s="84" t="s">
        <v>157</v>
      </c>
      <c r="V100" s="72">
        <v>5</v>
      </c>
      <c r="W100" s="85"/>
      <c r="X100" s="72"/>
      <c r="Y100" s="1"/>
      <c r="Z100" s="1"/>
      <c r="AA100" s="1"/>
      <c r="AB100" s="71"/>
      <c r="AC100" s="1"/>
      <c r="AD100" s="92"/>
      <c r="AE100" s="92"/>
      <c r="AF100" s="92"/>
      <c r="AG100" s="93"/>
      <c r="AH100" s="71"/>
      <c r="AI100" s="93"/>
      <c r="AJ100" s="92"/>
      <c r="AK100" s="92"/>
      <c r="AL100" s="92"/>
      <c r="AM100" s="92"/>
      <c r="AN100" s="71"/>
      <c r="AO100" s="93"/>
      <c r="AP100" s="92"/>
      <c r="AQ100" s="92"/>
      <c r="AR100" s="92"/>
      <c r="AS100" s="92"/>
      <c r="AT100" s="71"/>
      <c r="AU100" s="93"/>
      <c r="AV100" s="92"/>
      <c r="AW100" s="92"/>
      <c r="AX100" s="92"/>
      <c r="AY100" s="93"/>
      <c r="AZ100" s="93"/>
      <c r="BA100" s="93"/>
      <c r="BB100" s="93"/>
      <c r="BC100" s="93"/>
      <c r="BD100" s="93"/>
      <c r="BE100" s="93"/>
      <c r="BF100" s="93"/>
      <c r="BG100" s="71"/>
    </row>
    <row r="101" spans="1:59" ht="15.75" customHeight="1">
      <c r="A101" s="70"/>
      <c r="B101" s="73"/>
      <c r="C101" s="73"/>
      <c r="D101" s="73"/>
      <c r="E101" s="73"/>
      <c r="F101" s="72"/>
      <c r="G101" s="72"/>
      <c r="H101" s="1"/>
      <c r="I101" s="1"/>
      <c r="J101" s="77"/>
      <c r="K101" s="78"/>
      <c r="L101" s="78"/>
      <c r="M101" s="78"/>
      <c r="N101" s="78"/>
      <c r="O101" s="72"/>
      <c r="P101" s="1"/>
      <c r="Q101" s="1"/>
      <c r="R101" s="1"/>
      <c r="S101" s="71"/>
      <c r="T101" s="1"/>
      <c r="U101" s="71"/>
      <c r="V101" s="72"/>
      <c r="W101" s="1"/>
      <c r="X101" s="72"/>
      <c r="Y101" s="1"/>
      <c r="Z101" s="1"/>
      <c r="AA101" s="1"/>
      <c r="AB101" s="71"/>
      <c r="AC101" s="1"/>
      <c r="AD101" s="92"/>
      <c r="AE101" s="92"/>
      <c r="AF101" s="92"/>
      <c r="AG101" s="93"/>
      <c r="AH101" s="71"/>
      <c r="AI101" s="93"/>
      <c r="AJ101" s="92"/>
      <c r="AK101" s="92"/>
      <c r="AL101" s="92"/>
      <c r="AM101" s="92"/>
      <c r="AN101" s="71"/>
      <c r="AO101" s="93"/>
      <c r="AP101" s="92"/>
      <c r="AQ101" s="92"/>
      <c r="AR101" s="92"/>
      <c r="AS101" s="92"/>
      <c r="AT101" s="71"/>
      <c r="AU101" s="93"/>
      <c r="AV101" s="92"/>
      <c r="AW101" s="92"/>
      <c r="AX101" s="92"/>
      <c r="AY101" s="93"/>
      <c r="AZ101" s="93"/>
      <c r="BA101" s="93"/>
      <c r="BB101" s="93"/>
      <c r="BC101" s="93"/>
      <c r="BD101" s="93"/>
      <c r="BE101" s="93"/>
      <c r="BF101" s="93"/>
      <c r="BG101" s="71"/>
    </row>
    <row r="102" spans="1:59" ht="15.75" customHeight="1">
      <c r="A102" s="71"/>
      <c r="B102" s="71"/>
      <c r="C102" s="1"/>
      <c r="D102" s="72"/>
      <c r="E102" s="1"/>
      <c r="F102" s="72"/>
      <c r="G102" s="72"/>
      <c r="H102" s="1"/>
      <c r="I102" s="1"/>
      <c r="J102" s="71"/>
      <c r="K102" s="1"/>
      <c r="L102" s="1"/>
      <c r="M102" s="1"/>
      <c r="N102" s="1"/>
      <c r="O102" s="72"/>
      <c r="P102" s="1"/>
      <c r="Q102" s="1"/>
      <c r="R102" s="1"/>
      <c r="S102" s="71"/>
      <c r="T102" s="1"/>
      <c r="U102" s="71"/>
      <c r="V102" s="72"/>
      <c r="W102" s="1"/>
      <c r="X102" s="72"/>
      <c r="Y102" s="1"/>
      <c r="Z102" s="1"/>
      <c r="AA102" s="1"/>
      <c r="AB102" s="71"/>
      <c r="AC102" s="1"/>
      <c r="AD102" s="92"/>
      <c r="AE102" s="92"/>
      <c r="AF102" s="92"/>
      <c r="AG102" s="93"/>
      <c r="AH102" s="71"/>
      <c r="AI102" s="93"/>
      <c r="AJ102" s="92"/>
      <c r="AK102" s="92"/>
      <c r="AL102" s="92"/>
      <c r="AM102" s="92"/>
      <c r="AN102" s="71"/>
      <c r="AO102" s="93"/>
      <c r="AP102" s="92"/>
      <c r="AQ102" s="92"/>
      <c r="AR102" s="92"/>
      <c r="AS102" s="92"/>
      <c r="AT102" s="71"/>
      <c r="AU102" s="93"/>
      <c r="AV102" s="92"/>
      <c r="AW102" s="92"/>
      <c r="AX102" s="92"/>
      <c r="AY102" s="93"/>
      <c r="AZ102" s="93"/>
      <c r="BA102" s="93"/>
      <c r="BB102" s="93"/>
      <c r="BC102" s="93"/>
      <c r="BD102" s="93"/>
      <c r="BE102" s="93"/>
      <c r="BF102" s="93"/>
      <c r="BG102" s="71"/>
    </row>
    <row r="103" spans="1:59" ht="15.75" customHeight="1">
      <c r="A103" s="71"/>
      <c r="B103" s="71"/>
      <c r="C103" s="1"/>
      <c r="D103" s="72"/>
      <c r="E103" s="1"/>
      <c r="F103" s="72"/>
      <c r="G103" s="72"/>
      <c r="H103" s="1"/>
      <c r="I103" s="1"/>
      <c r="J103" s="71"/>
      <c r="K103" s="1"/>
      <c r="L103" s="1"/>
      <c r="M103" s="1"/>
      <c r="N103" s="1"/>
      <c r="O103" s="72"/>
      <c r="P103" s="1"/>
      <c r="Q103" s="1"/>
      <c r="R103" s="1"/>
      <c r="S103" s="71"/>
      <c r="T103" s="1"/>
      <c r="U103" s="71"/>
      <c r="V103" s="72"/>
      <c r="W103" s="1"/>
      <c r="X103" s="72"/>
      <c r="Y103" s="1"/>
      <c r="Z103" s="1"/>
      <c r="AA103" s="1"/>
      <c r="AB103" s="71"/>
      <c r="AC103" s="1"/>
      <c r="AD103" s="92"/>
      <c r="AE103" s="92"/>
      <c r="AF103" s="92"/>
      <c r="AG103" s="93"/>
      <c r="AH103" s="71"/>
      <c r="AI103" s="93"/>
      <c r="AJ103" s="92"/>
      <c r="AK103" s="92"/>
      <c r="AL103" s="92"/>
      <c r="AM103" s="92"/>
      <c r="AN103" s="71"/>
      <c r="AO103" s="93"/>
      <c r="AP103" s="92"/>
      <c r="AQ103" s="92"/>
      <c r="AR103" s="92"/>
      <c r="AS103" s="92"/>
      <c r="AT103" s="71"/>
      <c r="AU103" s="93"/>
      <c r="AV103" s="92"/>
      <c r="AW103" s="92"/>
      <c r="AX103" s="92"/>
      <c r="AY103" s="93"/>
      <c r="AZ103" s="93"/>
      <c r="BA103" s="93"/>
      <c r="BB103" s="93"/>
      <c r="BC103" s="93"/>
      <c r="BD103" s="93"/>
      <c r="BE103" s="93"/>
      <c r="BF103" s="93"/>
      <c r="BG103" s="71"/>
    </row>
    <row r="104" spans="1:59" ht="15.75" customHeight="1">
      <c r="A104" s="71"/>
      <c r="B104" s="1"/>
      <c r="C104" s="1"/>
      <c r="D104" s="1"/>
      <c r="E104" s="1"/>
      <c r="F104" s="72"/>
      <c r="G104" s="72"/>
      <c r="H104" s="1"/>
      <c r="I104" s="1"/>
      <c r="J104" s="71"/>
      <c r="K104" s="1"/>
      <c r="L104" s="1"/>
      <c r="M104" s="1"/>
      <c r="N104" s="1"/>
      <c r="O104" s="72"/>
      <c r="P104" s="1"/>
      <c r="Q104" s="1"/>
      <c r="R104" s="1"/>
      <c r="S104" s="71"/>
      <c r="T104" s="1"/>
      <c r="U104" s="71"/>
      <c r="V104" s="72"/>
      <c r="W104" s="1"/>
      <c r="X104" s="72"/>
      <c r="Y104" s="1"/>
      <c r="Z104" s="1"/>
      <c r="AA104" s="1"/>
      <c r="AB104" s="71"/>
      <c r="AC104" s="1"/>
      <c r="AD104" s="92"/>
      <c r="AE104" s="92"/>
      <c r="AF104" s="92"/>
      <c r="AG104" s="93"/>
      <c r="AH104" s="71"/>
      <c r="AI104" s="93"/>
      <c r="AJ104" s="92"/>
      <c r="AK104" s="92"/>
      <c r="AL104" s="92"/>
      <c r="AM104" s="92"/>
      <c r="AN104" s="71"/>
      <c r="AO104" s="93"/>
      <c r="AP104" s="92"/>
      <c r="AQ104" s="92"/>
      <c r="AR104" s="92"/>
      <c r="AS104" s="92"/>
      <c r="AT104" s="71"/>
      <c r="AU104" s="93"/>
      <c r="AV104" s="92"/>
      <c r="AW104" s="92"/>
      <c r="AX104" s="92"/>
      <c r="AY104" s="93"/>
      <c r="AZ104" s="93"/>
      <c r="BA104" s="93"/>
      <c r="BB104" s="93"/>
      <c r="BC104" s="93"/>
      <c r="BD104" s="93"/>
      <c r="BE104" s="93"/>
      <c r="BF104" s="93"/>
      <c r="BG104" s="71"/>
    </row>
    <row r="105" spans="1:59" ht="15.75" customHeight="1">
      <c r="A105" s="71"/>
      <c r="B105" s="71"/>
      <c r="C105" s="1"/>
      <c r="D105" s="72"/>
      <c r="E105" s="1"/>
      <c r="F105" s="72"/>
      <c r="G105" s="72"/>
      <c r="H105" s="1"/>
      <c r="I105" s="1"/>
      <c r="J105" s="71"/>
      <c r="K105" s="1"/>
      <c r="L105" s="1"/>
      <c r="M105" s="1"/>
      <c r="N105" s="1"/>
      <c r="O105" s="72"/>
      <c r="P105" s="1"/>
      <c r="Q105" s="1"/>
      <c r="R105" s="1"/>
      <c r="S105" s="71"/>
      <c r="T105" s="1"/>
      <c r="U105" s="71"/>
      <c r="V105" s="72"/>
      <c r="W105" s="1"/>
      <c r="X105" s="72"/>
      <c r="Y105" s="1"/>
      <c r="Z105" s="1"/>
      <c r="AA105" s="1"/>
      <c r="AB105" s="71"/>
      <c r="AC105" s="1"/>
      <c r="AD105" s="92"/>
      <c r="AE105" s="92"/>
      <c r="AF105" s="92"/>
      <c r="AG105" s="93"/>
      <c r="AH105" s="71"/>
      <c r="AI105" s="93"/>
      <c r="AJ105" s="92"/>
      <c r="AK105" s="92"/>
      <c r="AL105" s="92"/>
      <c r="AM105" s="92"/>
      <c r="AN105" s="71"/>
      <c r="AO105" s="93"/>
      <c r="AP105" s="92"/>
      <c r="AQ105" s="92"/>
      <c r="AR105" s="92"/>
      <c r="AS105" s="92"/>
      <c r="AT105" s="71"/>
      <c r="AU105" s="93"/>
      <c r="AV105" s="92"/>
      <c r="AW105" s="92"/>
      <c r="AX105" s="92"/>
      <c r="AY105" s="93"/>
      <c r="AZ105" s="93"/>
      <c r="BA105" s="93"/>
      <c r="BB105" s="93"/>
      <c r="BC105" s="93"/>
      <c r="BD105" s="93"/>
      <c r="BE105" s="93"/>
      <c r="BF105" s="93"/>
      <c r="BG105" s="71"/>
    </row>
    <row r="106" spans="1:59" ht="15.75" customHeight="1">
      <c r="A106" s="71"/>
      <c r="B106" s="71"/>
      <c r="C106" s="1"/>
      <c r="D106" s="72"/>
      <c r="E106" s="1"/>
      <c r="F106" s="72"/>
      <c r="G106" s="72"/>
      <c r="H106" s="1"/>
      <c r="I106" s="1"/>
      <c r="J106" s="71"/>
      <c r="K106" s="1"/>
      <c r="L106" s="1"/>
      <c r="M106" s="1"/>
      <c r="N106" s="1"/>
      <c r="O106" s="72"/>
      <c r="P106" s="1"/>
      <c r="Q106" s="1"/>
      <c r="R106" s="1"/>
      <c r="S106" s="71"/>
      <c r="T106" s="1"/>
      <c r="U106" s="71"/>
      <c r="V106" s="72"/>
      <c r="W106" s="1"/>
      <c r="X106" s="72"/>
      <c r="Y106" s="1"/>
      <c r="Z106" s="1"/>
      <c r="AA106" s="1"/>
      <c r="AB106" s="71"/>
      <c r="AC106" s="1"/>
      <c r="AD106" s="92"/>
      <c r="AE106" s="92"/>
      <c r="AF106" s="92"/>
      <c r="AG106" s="93"/>
      <c r="AH106" s="71"/>
      <c r="AI106" s="93"/>
      <c r="AJ106" s="92"/>
      <c r="AK106" s="92"/>
      <c r="AL106" s="92"/>
      <c r="AM106" s="92"/>
      <c r="AN106" s="71"/>
      <c r="AO106" s="93"/>
      <c r="AP106" s="92"/>
      <c r="AQ106" s="92"/>
      <c r="AR106" s="92"/>
      <c r="AS106" s="92"/>
      <c r="AT106" s="71"/>
      <c r="AU106" s="93"/>
      <c r="AV106" s="92"/>
      <c r="AW106" s="92"/>
      <c r="AX106" s="92"/>
      <c r="AY106" s="93"/>
      <c r="AZ106" s="93"/>
      <c r="BA106" s="93"/>
      <c r="BB106" s="93"/>
      <c r="BC106" s="93"/>
      <c r="BD106" s="93"/>
      <c r="BE106" s="93"/>
      <c r="BF106" s="93"/>
      <c r="BG106" s="71"/>
    </row>
    <row r="107" spans="1:59" ht="15.75" customHeight="1">
      <c r="A107" s="71"/>
      <c r="B107" s="1"/>
      <c r="C107" s="1"/>
      <c r="D107" s="1"/>
      <c r="E107" s="1"/>
      <c r="F107" s="72"/>
      <c r="G107" s="72"/>
      <c r="H107" s="1"/>
      <c r="I107" s="1"/>
      <c r="J107" s="71"/>
      <c r="K107" s="1"/>
      <c r="L107" s="1"/>
      <c r="M107" s="1"/>
      <c r="N107" s="1"/>
      <c r="O107" s="72"/>
      <c r="P107" s="1"/>
      <c r="Q107" s="1"/>
      <c r="R107" s="1"/>
      <c r="S107" s="71"/>
      <c r="T107" s="1"/>
      <c r="U107" s="71"/>
      <c r="V107" s="72"/>
      <c r="W107" s="1"/>
      <c r="X107" s="72"/>
      <c r="Y107" s="1"/>
      <c r="Z107" s="1"/>
      <c r="AA107" s="1"/>
      <c r="AB107" s="71"/>
      <c r="AC107" s="1"/>
      <c r="AD107" s="92"/>
      <c r="AE107" s="92"/>
      <c r="AF107" s="92"/>
      <c r="AG107" s="93"/>
      <c r="AH107" s="71"/>
      <c r="AI107" s="93"/>
      <c r="AJ107" s="92"/>
      <c r="AK107" s="92"/>
      <c r="AL107" s="92"/>
      <c r="AM107" s="92"/>
      <c r="AN107" s="71"/>
      <c r="AO107" s="93"/>
      <c r="AP107" s="92"/>
      <c r="AQ107" s="92"/>
      <c r="AR107" s="92"/>
      <c r="AS107" s="92"/>
      <c r="AT107" s="71"/>
      <c r="AU107" s="93"/>
      <c r="AV107" s="92"/>
      <c r="AW107" s="92"/>
      <c r="AX107" s="92"/>
      <c r="AY107" s="93"/>
      <c r="AZ107" s="93"/>
      <c r="BA107" s="93"/>
      <c r="BB107" s="93"/>
      <c r="BC107" s="93"/>
      <c r="BD107" s="93"/>
      <c r="BE107" s="93"/>
      <c r="BF107" s="93"/>
      <c r="BG107" s="71"/>
    </row>
    <row r="108" spans="1:59" ht="15.75" customHeight="1">
      <c r="A108" s="71"/>
      <c r="B108" s="71"/>
      <c r="C108" s="1"/>
      <c r="D108" s="72"/>
      <c r="E108" s="1"/>
      <c r="F108" s="72"/>
      <c r="G108" s="72"/>
      <c r="H108" s="1"/>
      <c r="I108" s="1"/>
      <c r="J108" s="71"/>
      <c r="K108" s="1"/>
      <c r="L108" s="1"/>
      <c r="M108" s="1"/>
      <c r="N108" s="1"/>
      <c r="O108" s="72"/>
      <c r="P108" s="1"/>
      <c r="Q108" s="1"/>
      <c r="R108" s="1"/>
      <c r="S108" s="71"/>
      <c r="T108" s="1"/>
      <c r="U108" s="71"/>
      <c r="V108" s="72"/>
      <c r="W108" s="1"/>
      <c r="X108" s="72"/>
      <c r="Y108" s="1"/>
      <c r="Z108" s="1"/>
      <c r="AA108" s="1"/>
      <c r="AB108" s="71"/>
      <c r="AC108" s="1"/>
      <c r="AD108" s="92"/>
      <c r="AE108" s="92"/>
      <c r="AF108" s="92"/>
      <c r="AG108" s="93"/>
      <c r="AH108" s="71"/>
      <c r="AI108" s="93"/>
      <c r="AJ108" s="92"/>
      <c r="AK108" s="92"/>
      <c r="AL108" s="92"/>
      <c r="AM108" s="92"/>
      <c r="AN108" s="71"/>
      <c r="AO108" s="93"/>
      <c r="AP108" s="92"/>
      <c r="AQ108" s="92"/>
      <c r="AR108" s="92"/>
      <c r="AS108" s="92"/>
      <c r="AT108" s="71"/>
      <c r="AU108" s="93"/>
      <c r="AV108" s="92"/>
      <c r="AW108" s="92"/>
      <c r="AX108" s="92"/>
      <c r="AY108" s="93"/>
      <c r="AZ108" s="93"/>
      <c r="BA108" s="93"/>
      <c r="BB108" s="93"/>
      <c r="BC108" s="93"/>
      <c r="BD108" s="93"/>
      <c r="BE108" s="93"/>
      <c r="BF108" s="93"/>
      <c r="BG108" s="71"/>
    </row>
    <row r="109" spans="1:59" ht="15.75" customHeight="1">
      <c r="A109" s="71"/>
      <c r="B109" s="71"/>
      <c r="C109" s="1"/>
      <c r="D109" s="72"/>
      <c r="E109" s="1"/>
      <c r="F109" s="72"/>
      <c r="G109" s="72"/>
      <c r="H109" s="1"/>
      <c r="I109" s="1"/>
      <c r="J109" s="71"/>
      <c r="K109" s="1"/>
      <c r="L109" s="1"/>
      <c r="M109" s="1"/>
      <c r="N109" s="1"/>
      <c r="O109" s="72"/>
      <c r="P109" s="1"/>
      <c r="Q109" s="1"/>
      <c r="R109" s="1"/>
      <c r="S109" s="71"/>
      <c r="T109" s="1"/>
      <c r="U109" s="71"/>
      <c r="V109" s="72"/>
      <c r="W109" s="1"/>
      <c r="X109" s="72"/>
      <c r="Y109" s="1"/>
      <c r="Z109" s="1"/>
      <c r="AA109" s="1"/>
      <c r="AB109" s="71"/>
      <c r="AC109" s="1"/>
      <c r="AD109" s="92"/>
      <c r="AE109" s="92"/>
      <c r="AF109" s="92"/>
      <c r="AG109" s="93"/>
      <c r="AH109" s="71"/>
      <c r="AI109" s="93"/>
      <c r="AJ109" s="92"/>
      <c r="AK109" s="92"/>
      <c r="AL109" s="92"/>
      <c r="AM109" s="92"/>
      <c r="AN109" s="71"/>
      <c r="AO109" s="93"/>
      <c r="AP109" s="92"/>
      <c r="AQ109" s="92"/>
      <c r="AR109" s="92"/>
      <c r="AS109" s="92"/>
      <c r="AT109" s="71"/>
      <c r="AU109" s="93"/>
      <c r="AV109" s="92"/>
      <c r="AW109" s="92"/>
      <c r="AX109" s="92"/>
      <c r="AY109" s="93"/>
      <c r="AZ109" s="93"/>
      <c r="BA109" s="93"/>
      <c r="BB109" s="93"/>
      <c r="BC109" s="93"/>
      <c r="BD109" s="93"/>
      <c r="BE109" s="93"/>
      <c r="BF109" s="93"/>
      <c r="BG109" s="71"/>
    </row>
    <row r="110" spans="1:59" ht="15.75" customHeight="1">
      <c r="A110" s="103"/>
      <c r="B110" s="104"/>
      <c r="C110" s="104"/>
      <c r="D110" s="104"/>
      <c r="E110" s="104"/>
      <c r="F110" s="72"/>
      <c r="G110" s="72"/>
      <c r="H110" s="1"/>
      <c r="I110" s="1"/>
      <c r="J110" s="71"/>
      <c r="K110" s="1"/>
      <c r="L110" s="1"/>
      <c r="M110" s="1"/>
      <c r="N110" s="1"/>
      <c r="O110" s="72"/>
      <c r="P110" s="1"/>
      <c r="Q110" s="1"/>
      <c r="R110" s="1"/>
      <c r="S110" s="71"/>
      <c r="T110" s="1"/>
      <c r="U110" s="71"/>
      <c r="V110" s="72"/>
      <c r="W110" s="1"/>
      <c r="X110" s="72"/>
      <c r="Y110" s="1"/>
      <c r="Z110" s="1"/>
      <c r="AA110" s="1"/>
      <c r="AB110" s="71"/>
      <c r="AC110" s="1"/>
      <c r="AD110" s="92"/>
      <c r="AE110" s="92"/>
      <c r="AF110" s="92"/>
      <c r="AG110" s="93"/>
      <c r="AH110" s="71"/>
      <c r="AI110" s="93"/>
      <c r="AJ110" s="92"/>
      <c r="AK110" s="92"/>
      <c r="AL110" s="92"/>
      <c r="AM110" s="92"/>
      <c r="AN110" s="71"/>
      <c r="AO110" s="93"/>
      <c r="AP110" s="92"/>
      <c r="AQ110" s="92"/>
      <c r="AR110" s="92"/>
      <c r="AS110" s="92"/>
      <c r="AT110" s="71"/>
      <c r="AU110" s="93"/>
      <c r="AV110" s="92"/>
      <c r="AW110" s="92"/>
      <c r="AX110" s="92"/>
      <c r="AY110" s="93"/>
      <c r="AZ110" s="93"/>
      <c r="BA110" s="93"/>
      <c r="BB110" s="93"/>
      <c r="BC110" s="93"/>
      <c r="BD110" s="93"/>
      <c r="BE110" s="93"/>
      <c r="BF110" s="93"/>
      <c r="BG110" s="71"/>
    </row>
    <row r="111" spans="1:59" ht="15.75" customHeight="1">
      <c r="A111" s="71"/>
      <c r="B111" s="71"/>
      <c r="C111" s="1"/>
      <c r="D111" s="72"/>
      <c r="E111" s="1"/>
      <c r="F111" s="72"/>
      <c r="G111" s="72"/>
      <c r="H111" s="1"/>
      <c r="I111" s="1"/>
      <c r="J111" s="71"/>
      <c r="K111" s="1"/>
      <c r="L111" s="1"/>
      <c r="M111" s="1"/>
      <c r="N111" s="1"/>
      <c r="O111" s="72"/>
      <c r="P111" s="1"/>
      <c r="Q111" s="1"/>
      <c r="R111" s="1"/>
      <c r="S111" s="71"/>
      <c r="T111" s="1"/>
      <c r="U111" s="71"/>
      <c r="V111" s="72"/>
      <c r="W111" s="1"/>
      <c r="X111" s="72"/>
      <c r="Y111" s="1"/>
      <c r="Z111" s="1"/>
      <c r="AA111" s="1"/>
      <c r="AB111" s="71"/>
      <c r="AC111" s="1"/>
      <c r="AD111" s="92"/>
      <c r="AE111" s="92"/>
      <c r="AF111" s="92"/>
      <c r="AG111" s="93"/>
      <c r="AH111" s="71"/>
      <c r="AI111" s="93"/>
      <c r="AJ111" s="92"/>
      <c r="AK111" s="92"/>
      <c r="AL111" s="92"/>
      <c r="AM111" s="92"/>
      <c r="AN111" s="71"/>
      <c r="AO111" s="93"/>
      <c r="AP111" s="92"/>
      <c r="AQ111" s="92"/>
      <c r="AR111" s="92"/>
      <c r="AS111" s="92"/>
      <c r="AT111" s="71"/>
      <c r="AU111" s="93"/>
      <c r="AV111" s="92"/>
      <c r="AW111" s="92"/>
      <c r="AX111" s="92"/>
      <c r="AY111" s="93"/>
      <c r="AZ111" s="93"/>
      <c r="BA111" s="93"/>
      <c r="BB111" s="93"/>
      <c r="BC111" s="93"/>
      <c r="BD111" s="93"/>
      <c r="BE111" s="93"/>
      <c r="BF111" s="93"/>
      <c r="BG111" s="71"/>
    </row>
    <row r="112" spans="1:59" ht="15.75" customHeight="1">
      <c r="A112" s="71"/>
      <c r="B112" s="71"/>
      <c r="C112" s="1"/>
      <c r="D112" s="72"/>
      <c r="E112" s="1"/>
      <c r="F112" s="72"/>
      <c r="G112" s="72"/>
      <c r="H112" s="1"/>
      <c r="I112" s="1"/>
      <c r="J112" s="71"/>
      <c r="K112" s="1"/>
      <c r="L112" s="1"/>
      <c r="M112" s="1"/>
      <c r="N112" s="1"/>
      <c r="O112" s="72"/>
      <c r="P112" s="1"/>
      <c r="Q112" s="1"/>
      <c r="R112" s="1"/>
      <c r="S112" s="71"/>
      <c r="T112" s="1"/>
      <c r="U112" s="71"/>
      <c r="V112" s="72"/>
      <c r="W112" s="1"/>
      <c r="X112" s="72"/>
      <c r="Y112" s="1"/>
      <c r="Z112" s="1"/>
      <c r="AA112" s="1"/>
      <c r="AB112" s="71"/>
      <c r="AC112" s="1"/>
      <c r="AD112" s="92"/>
      <c r="AE112" s="92"/>
      <c r="AF112" s="92"/>
      <c r="AG112" s="93"/>
      <c r="AH112" s="71"/>
      <c r="AI112" s="93"/>
      <c r="AJ112" s="92"/>
      <c r="AK112" s="92"/>
      <c r="AL112" s="92"/>
      <c r="AM112" s="92"/>
      <c r="AN112" s="71"/>
      <c r="AO112" s="93"/>
      <c r="AP112" s="92"/>
      <c r="AQ112" s="92"/>
      <c r="AR112" s="92"/>
      <c r="AS112" s="92"/>
      <c r="AT112" s="71"/>
      <c r="AU112" s="93"/>
      <c r="AV112" s="92"/>
      <c r="AW112" s="92"/>
      <c r="AX112" s="92"/>
      <c r="AY112" s="93"/>
      <c r="AZ112" s="93"/>
      <c r="BA112" s="93"/>
      <c r="BB112" s="93"/>
      <c r="BC112" s="93"/>
      <c r="BD112" s="93"/>
      <c r="BE112" s="93"/>
      <c r="BF112" s="93"/>
      <c r="BG112" s="71"/>
    </row>
    <row r="113" spans="1:59" ht="15.75" customHeight="1">
      <c r="A113" s="71"/>
      <c r="B113" s="1"/>
      <c r="C113" s="1"/>
      <c r="D113" s="1"/>
      <c r="E113" s="1"/>
      <c r="F113" s="72"/>
      <c r="G113" s="72"/>
      <c r="H113" s="93"/>
      <c r="I113" s="93"/>
      <c r="J113" s="71"/>
      <c r="K113" s="1"/>
      <c r="L113" s="1"/>
      <c r="M113" s="93"/>
      <c r="N113" s="93"/>
      <c r="O113" s="72"/>
      <c r="P113" s="93"/>
      <c r="Q113" s="93"/>
      <c r="R113" s="93"/>
      <c r="S113" s="71"/>
      <c r="T113" s="1"/>
      <c r="U113" s="71"/>
      <c r="V113" s="72"/>
      <c r="W113" s="93"/>
      <c r="X113" s="72"/>
      <c r="Y113" s="93"/>
      <c r="Z113" s="93"/>
      <c r="AA113" s="93"/>
      <c r="AB113" s="71"/>
      <c r="AC113" s="93"/>
      <c r="AD113" s="92"/>
      <c r="AE113" s="92"/>
      <c r="AF113" s="92"/>
      <c r="AG113" s="93"/>
      <c r="AH113" s="71"/>
      <c r="AI113" s="93"/>
      <c r="AJ113" s="92"/>
      <c r="AK113" s="92"/>
      <c r="AL113" s="92"/>
      <c r="AM113" s="92"/>
      <c r="AN113" s="71"/>
      <c r="AO113" s="93"/>
      <c r="AP113" s="92"/>
      <c r="AQ113" s="92"/>
      <c r="AR113" s="92"/>
      <c r="AS113" s="92"/>
      <c r="AT113" s="71"/>
      <c r="AU113" s="93"/>
      <c r="AV113" s="92"/>
      <c r="AW113" s="92"/>
      <c r="AX113" s="92"/>
      <c r="AY113" s="93"/>
      <c r="AZ113" s="93"/>
      <c r="BA113" s="93"/>
      <c r="BB113" s="93"/>
      <c r="BC113" s="93"/>
      <c r="BD113" s="93"/>
      <c r="BE113" s="93"/>
      <c r="BF113" s="93"/>
      <c r="BG113" s="71"/>
    </row>
    <row r="114" spans="1:59" ht="15.75" customHeight="1">
      <c r="A114" s="71"/>
      <c r="B114" s="71"/>
      <c r="C114" s="1"/>
      <c r="D114" s="72"/>
      <c r="E114" s="93"/>
      <c r="F114" s="72"/>
      <c r="G114" s="72"/>
      <c r="H114" s="93"/>
      <c r="I114" s="93"/>
      <c r="J114" s="71"/>
      <c r="K114" s="1"/>
      <c r="L114" s="1"/>
      <c r="M114" s="93"/>
      <c r="N114" s="93"/>
      <c r="O114" s="72"/>
      <c r="P114" s="93"/>
      <c r="Q114" s="93"/>
      <c r="R114" s="93"/>
      <c r="S114" s="71"/>
      <c r="T114" s="1"/>
      <c r="U114" s="71"/>
      <c r="V114" s="72"/>
      <c r="W114" s="93"/>
      <c r="X114" s="72"/>
      <c r="Y114" s="93"/>
      <c r="Z114" s="93"/>
      <c r="AA114" s="93"/>
      <c r="AB114" s="71"/>
      <c r="AC114" s="93"/>
      <c r="AD114" s="92"/>
      <c r="AE114" s="92"/>
      <c r="AF114" s="92"/>
      <c r="AG114" s="93"/>
      <c r="AH114" s="71"/>
      <c r="AI114" s="93"/>
      <c r="AJ114" s="92"/>
      <c r="AK114" s="92"/>
      <c r="AL114" s="92"/>
      <c r="AM114" s="92"/>
      <c r="AN114" s="71"/>
      <c r="AO114" s="93"/>
      <c r="AP114" s="92"/>
      <c r="AQ114" s="92"/>
      <c r="AR114" s="92"/>
      <c r="AS114" s="92"/>
      <c r="AT114" s="71"/>
      <c r="AU114" s="93"/>
      <c r="AV114" s="92"/>
      <c r="AW114" s="92"/>
      <c r="AX114" s="92"/>
      <c r="AY114" s="93"/>
      <c r="AZ114" s="93"/>
      <c r="BA114" s="93"/>
      <c r="BB114" s="93"/>
      <c r="BC114" s="93"/>
      <c r="BD114" s="93"/>
      <c r="BE114" s="93"/>
      <c r="BF114" s="93"/>
      <c r="BG114" s="71"/>
    </row>
    <row r="115" spans="1:59" ht="15.75" customHeight="1">
      <c r="A115" s="71"/>
      <c r="B115" s="71"/>
      <c r="C115" s="1"/>
      <c r="D115" s="72"/>
      <c r="E115" s="93"/>
      <c r="F115" s="72"/>
      <c r="G115" s="72"/>
      <c r="H115" s="93"/>
      <c r="I115" s="93"/>
      <c r="J115" s="71"/>
      <c r="K115" s="1"/>
      <c r="L115" s="1"/>
      <c r="M115" s="93"/>
      <c r="N115" s="93"/>
      <c r="O115" s="72"/>
      <c r="P115" s="93"/>
      <c r="Q115" s="93"/>
      <c r="R115" s="93"/>
      <c r="S115" s="71"/>
      <c r="T115" s="1"/>
      <c r="U115" s="71"/>
      <c r="V115" s="72"/>
      <c r="W115" s="93"/>
      <c r="X115" s="72"/>
      <c r="Y115" s="93"/>
      <c r="Z115" s="93"/>
      <c r="AA115" s="93"/>
      <c r="AB115" s="71"/>
      <c r="AC115" s="93"/>
      <c r="AD115" s="92"/>
      <c r="AE115" s="92"/>
      <c r="AF115" s="92"/>
      <c r="AG115" s="93"/>
      <c r="AH115" s="71"/>
      <c r="AI115" s="93"/>
      <c r="AJ115" s="92"/>
      <c r="AK115" s="92"/>
      <c r="AL115" s="92"/>
      <c r="AM115" s="92"/>
      <c r="AN115" s="71"/>
      <c r="AO115" s="93"/>
      <c r="AP115" s="92"/>
      <c r="AQ115" s="92"/>
      <c r="AR115" s="92"/>
      <c r="AS115" s="92"/>
      <c r="AT115" s="71"/>
      <c r="AU115" s="93"/>
      <c r="AV115" s="92"/>
      <c r="AW115" s="92"/>
      <c r="AX115" s="92"/>
      <c r="AY115" s="93"/>
      <c r="AZ115" s="93"/>
      <c r="BA115" s="93"/>
      <c r="BB115" s="93"/>
      <c r="BC115" s="93"/>
      <c r="BD115" s="93"/>
      <c r="BE115" s="93"/>
      <c r="BF115" s="93"/>
      <c r="BG115" s="71"/>
    </row>
    <row r="116" spans="1:59" ht="15.75" customHeight="1">
      <c r="A116" s="71"/>
      <c r="B116" s="1"/>
      <c r="C116" s="1"/>
      <c r="D116" s="1"/>
      <c r="E116" s="1"/>
      <c r="F116" s="72"/>
      <c r="G116" s="72"/>
      <c r="H116" s="93"/>
      <c r="I116" s="93"/>
      <c r="J116" s="71"/>
      <c r="K116" s="1"/>
      <c r="L116" s="1"/>
      <c r="M116" s="93"/>
      <c r="N116" s="93"/>
      <c r="O116" s="72"/>
      <c r="P116" s="93"/>
      <c r="Q116" s="93"/>
      <c r="R116" s="93"/>
      <c r="S116" s="71"/>
      <c r="T116" s="1"/>
      <c r="U116" s="71"/>
      <c r="V116" s="72"/>
      <c r="W116" s="93"/>
      <c r="X116" s="72"/>
      <c r="Y116" s="93"/>
      <c r="Z116" s="93"/>
      <c r="AA116" s="93"/>
      <c r="AB116" s="71"/>
      <c r="AC116" s="93"/>
      <c r="AD116" s="92"/>
      <c r="AE116" s="92"/>
      <c r="AF116" s="92"/>
      <c r="AG116" s="93"/>
      <c r="AH116" s="71"/>
      <c r="AI116" s="93"/>
      <c r="AJ116" s="92"/>
      <c r="AK116" s="92"/>
      <c r="AL116" s="92"/>
      <c r="AM116" s="92"/>
      <c r="AN116" s="71"/>
      <c r="AO116" s="93"/>
      <c r="AP116" s="92"/>
      <c r="AQ116" s="92"/>
      <c r="AR116" s="92"/>
      <c r="AS116" s="92"/>
      <c r="AT116" s="71"/>
      <c r="AU116" s="93"/>
      <c r="AV116" s="92"/>
      <c r="AW116" s="92"/>
      <c r="AX116" s="92"/>
      <c r="AY116" s="93"/>
      <c r="AZ116" s="93"/>
      <c r="BA116" s="93"/>
      <c r="BB116" s="93"/>
      <c r="BC116" s="93"/>
      <c r="BD116" s="93"/>
      <c r="BE116" s="93"/>
      <c r="BF116" s="93"/>
      <c r="BG116" s="71"/>
    </row>
    <row r="117" spans="1:59" ht="15.75" customHeight="1">
      <c r="A117" s="71"/>
      <c r="B117" s="71"/>
      <c r="C117" s="1"/>
      <c r="D117" s="72"/>
      <c r="E117" s="93"/>
      <c r="F117" s="72"/>
      <c r="G117" s="72"/>
      <c r="H117" s="93"/>
      <c r="I117" s="93"/>
      <c r="J117" s="71"/>
      <c r="K117" s="1"/>
      <c r="L117" s="1"/>
      <c r="M117" s="93"/>
      <c r="N117" s="93"/>
      <c r="O117" s="72"/>
      <c r="P117" s="93"/>
      <c r="Q117" s="93"/>
      <c r="R117" s="93"/>
      <c r="S117" s="71"/>
      <c r="T117" s="1"/>
      <c r="U117" s="71"/>
      <c r="V117" s="72"/>
      <c r="W117" s="93"/>
      <c r="X117" s="72"/>
      <c r="Y117" s="93"/>
      <c r="Z117" s="93"/>
      <c r="AA117" s="93"/>
      <c r="AB117" s="71"/>
      <c r="AC117" s="93"/>
      <c r="AD117" s="92"/>
      <c r="AE117" s="92"/>
      <c r="AF117" s="92"/>
      <c r="AG117" s="93"/>
      <c r="AH117" s="71"/>
      <c r="AI117" s="93"/>
      <c r="AJ117" s="92"/>
      <c r="AK117" s="92"/>
      <c r="AL117" s="92"/>
      <c r="AM117" s="92"/>
      <c r="AN117" s="71"/>
      <c r="AO117" s="93"/>
      <c r="AP117" s="92"/>
      <c r="AQ117" s="92"/>
      <c r="AR117" s="92"/>
      <c r="AS117" s="92"/>
      <c r="AT117" s="71"/>
      <c r="AU117" s="93"/>
      <c r="AV117" s="92"/>
      <c r="AW117" s="92"/>
      <c r="AX117" s="92"/>
      <c r="AY117" s="93"/>
      <c r="AZ117" s="93"/>
      <c r="BA117" s="93"/>
      <c r="BB117" s="93"/>
      <c r="BC117" s="93"/>
      <c r="BD117" s="93"/>
      <c r="BE117" s="93"/>
      <c r="BF117" s="93"/>
      <c r="BG117" s="71"/>
    </row>
    <row r="118" spans="1:59" ht="15.75" customHeight="1">
      <c r="A118" s="71"/>
      <c r="B118" s="71"/>
      <c r="C118" s="1"/>
      <c r="D118" s="72"/>
      <c r="E118" s="93"/>
      <c r="F118" s="72"/>
      <c r="G118" s="72"/>
      <c r="H118" s="93"/>
      <c r="I118" s="93"/>
      <c r="J118" s="71"/>
      <c r="K118" s="1"/>
      <c r="L118" s="1"/>
      <c r="M118" s="93"/>
      <c r="N118" s="93"/>
      <c r="O118" s="72"/>
      <c r="P118" s="93"/>
      <c r="Q118" s="93"/>
      <c r="R118" s="93"/>
      <c r="S118" s="71"/>
      <c r="T118" s="1"/>
      <c r="U118" s="71"/>
      <c r="V118" s="72"/>
      <c r="W118" s="93"/>
      <c r="X118" s="72"/>
      <c r="Y118" s="93"/>
      <c r="Z118" s="93"/>
      <c r="AA118" s="93"/>
      <c r="AB118" s="71"/>
      <c r="AC118" s="93"/>
      <c r="AD118" s="92"/>
      <c r="AE118" s="92"/>
      <c r="AF118" s="92"/>
      <c r="AG118" s="93"/>
      <c r="AH118" s="71"/>
      <c r="AI118" s="93"/>
      <c r="AJ118" s="92"/>
      <c r="AK118" s="92"/>
      <c r="AL118" s="92"/>
      <c r="AM118" s="92"/>
      <c r="AN118" s="71"/>
      <c r="AO118" s="93"/>
      <c r="AP118" s="92"/>
      <c r="AQ118" s="92"/>
      <c r="AR118" s="92"/>
      <c r="AS118" s="92"/>
      <c r="AT118" s="71"/>
      <c r="AU118" s="93"/>
      <c r="AV118" s="92"/>
      <c r="AW118" s="92"/>
      <c r="AX118" s="92"/>
      <c r="AY118" s="93"/>
      <c r="AZ118" s="93"/>
      <c r="BA118" s="93"/>
      <c r="BB118" s="93"/>
      <c r="BC118" s="93"/>
      <c r="BD118" s="93"/>
      <c r="BE118" s="93"/>
      <c r="BF118" s="93"/>
      <c r="BG118" s="71"/>
    </row>
    <row r="119" spans="1:59" ht="15.75" customHeight="1">
      <c r="A119" s="71"/>
      <c r="B119" s="1"/>
      <c r="C119" s="1"/>
      <c r="D119" s="1"/>
      <c r="E119" s="1"/>
      <c r="F119" s="72"/>
      <c r="G119" s="72"/>
      <c r="H119" s="93"/>
      <c r="I119" s="93"/>
      <c r="J119" s="71"/>
      <c r="K119" s="1"/>
      <c r="L119" s="1"/>
      <c r="M119" s="93"/>
      <c r="N119" s="93"/>
      <c r="O119" s="72"/>
      <c r="P119" s="93"/>
      <c r="Q119" s="93"/>
      <c r="R119" s="93"/>
      <c r="S119" s="71"/>
      <c r="T119" s="1"/>
      <c r="U119" s="71"/>
      <c r="V119" s="72"/>
      <c r="W119" s="93"/>
      <c r="X119" s="72"/>
      <c r="Y119" s="93"/>
      <c r="Z119" s="93"/>
      <c r="AA119" s="93"/>
      <c r="AB119" s="71"/>
      <c r="AC119" s="93"/>
      <c r="AD119" s="92"/>
      <c r="AE119" s="92"/>
      <c r="AF119" s="92"/>
      <c r="AG119" s="93"/>
      <c r="AH119" s="71"/>
      <c r="AI119" s="93"/>
      <c r="AJ119" s="92"/>
      <c r="AK119" s="92"/>
      <c r="AL119" s="92"/>
      <c r="AM119" s="92"/>
      <c r="AN119" s="71"/>
      <c r="AO119" s="93"/>
      <c r="AP119" s="92"/>
      <c r="AQ119" s="92"/>
      <c r="AR119" s="92"/>
      <c r="AS119" s="92"/>
      <c r="AT119" s="71"/>
      <c r="AU119" s="93"/>
      <c r="AV119" s="92"/>
      <c r="AW119" s="92"/>
      <c r="AX119" s="92"/>
      <c r="AY119" s="93"/>
      <c r="AZ119" s="93"/>
      <c r="BA119" s="93"/>
      <c r="BB119" s="93"/>
      <c r="BC119" s="93"/>
      <c r="BD119" s="93"/>
      <c r="BE119" s="93"/>
      <c r="BF119" s="93"/>
      <c r="BG119" s="71"/>
    </row>
    <row r="120" spans="1:59" ht="15.75" customHeight="1">
      <c r="A120" s="71"/>
      <c r="B120" s="71"/>
      <c r="C120" s="1"/>
      <c r="D120" s="72"/>
      <c r="E120" s="93"/>
      <c r="F120" s="72"/>
      <c r="G120" s="72"/>
      <c r="H120" s="93"/>
      <c r="I120" s="93"/>
      <c r="J120" s="71"/>
      <c r="K120" s="1"/>
      <c r="L120" s="1"/>
      <c r="M120" s="93"/>
      <c r="N120" s="93"/>
      <c r="O120" s="72"/>
      <c r="P120" s="93"/>
      <c r="Q120" s="93"/>
      <c r="R120" s="93"/>
      <c r="S120" s="71"/>
      <c r="T120" s="1"/>
      <c r="U120" s="71"/>
      <c r="V120" s="72"/>
      <c r="W120" s="93"/>
      <c r="X120" s="72"/>
      <c r="Y120" s="93"/>
      <c r="Z120" s="93"/>
      <c r="AA120" s="93"/>
      <c r="AB120" s="71"/>
      <c r="AC120" s="93"/>
      <c r="AD120" s="92"/>
      <c r="AE120" s="92"/>
      <c r="AF120" s="92"/>
      <c r="AG120" s="93"/>
      <c r="AH120" s="71"/>
      <c r="AI120" s="93"/>
      <c r="AJ120" s="92"/>
      <c r="AK120" s="92"/>
      <c r="AL120" s="92"/>
      <c r="AM120" s="92"/>
      <c r="AN120" s="71"/>
      <c r="AO120" s="93"/>
      <c r="AP120" s="92"/>
      <c r="AQ120" s="92"/>
      <c r="AR120" s="92"/>
      <c r="AS120" s="92"/>
      <c r="AT120" s="71"/>
      <c r="AU120" s="93"/>
      <c r="AV120" s="92"/>
      <c r="AW120" s="92"/>
      <c r="AX120" s="92"/>
      <c r="AY120" s="93"/>
      <c r="AZ120" s="93"/>
      <c r="BA120" s="93"/>
      <c r="BB120" s="93"/>
      <c r="BC120" s="93"/>
      <c r="BD120" s="93"/>
      <c r="BE120" s="93"/>
      <c r="BF120" s="93"/>
      <c r="BG120" s="71"/>
    </row>
    <row r="121" spans="1:59" ht="15.75" customHeight="1">
      <c r="A121" s="71"/>
      <c r="B121" s="71"/>
      <c r="C121" s="1"/>
      <c r="D121" s="72"/>
      <c r="E121" s="93"/>
      <c r="F121" s="72"/>
      <c r="G121" s="72"/>
      <c r="H121" s="93"/>
      <c r="I121" s="93"/>
      <c r="J121" s="71"/>
      <c r="K121" s="1"/>
      <c r="L121" s="1"/>
      <c r="M121" s="93"/>
      <c r="N121" s="93"/>
      <c r="O121" s="72"/>
      <c r="P121" s="93"/>
      <c r="Q121" s="93"/>
      <c r="R121" s="93"/>
      <c r="S121" s="71"/>
      <c r="T121" s="1"/>
      <c r="U121" s="71"/>
      <c r="V121" s="72"/>
      <c r="W121" s="93"/>
      <c r="X121" s="72"/>
      <c r="Y121" s="93"/>
      <c r="Z121" s="93"/>
      <c r="AA121" s="93"/>
      <c r="AB121" s="71"/>
      <c r="AC121" s="93"/>
      <c r="AD121" s="92"/>
      <c r="AE121" s="92"/>
      <c r="AF121" s="92"/>
      <c r="AG121" s="93"/>
      <c r="AH121" s="71"/>
      <c r="AI121" s="93"/>
      <c r="AJ121" s="92"/>
      <c r="AK121" s="92"/>
      <c r="AL121" s="92"/>
      <c r="AM121" s="92"/>
      <c r="AN121" s="71"/>
      <c r="AO121" s="93"/>
      <c r="AP121" s="92"/>
      <c r="AQ121" s="92"/>
      <c r="AR121" s="92"/>
      <c r="AS121" s="92"/>
      <c r="AT121" s="71"/>
      <c r="AU121" s="93"/>
      <c r="AV121" s="92"/>
      <c r="AW121" s="92"/>
      <c r="AX121" s="92"/>
      <c r="AY121" s="93"/>
      <c r="AZ121" s="93"/>
      <c r="BA121" s="93"/>
      <c r="BB121" s="93"/>
      <c r="BC121" s="93"/>
      <c r="BD121" s="93"/>
      <c r="BE121" s="93"/>
      <c r="BF121" s="93"/>
      <c r="BG121" s="71"/>
    </row>
    <row r="122" spans="1:59" ht="15.75" customHeight="1">
      <c r="A122" s="71"/>
      <c r="B122" s="1"/>
      <c r="C122" s="1"/>
      <c r="D122" s="1"/>
      <c r="E122" s="1"/>
      <c r="F122" s="72"/>
      <c r="G122" s="72"/>
      <c r="H122" s="93"/>
      <c r="I122" s="93"/>
      <c r="J122" s="71"/>
      <c r="K122" s="1"/>
      <c r="L122" s="1"/>
      <c r="M122" s="93"/>
      <c r="N122" s="93"/>
      <c r="O122" s="72"/>
      <c r="P122" s="93"/>
      <c r="Q122" s="93"/>
      <c r="R122" s="93"/>
      <c r="S122" s="71"/>
      <c r="T122" s="1"/>
      <c r="U122" s="71"/>
      <c r="V122" s="72"/>
      <c r="W122" s="93"/>
      <c r="X122" s="72"/>
      <c r="Y122" s="93"/>
      <c r="Z122" s="93"/>
      <c r="AA122" s="93"/>
      <c r="AB122" s="71"/>
      <c r="AC122" s="93"/>
      <c r="AD122" s="92"/>
      <c r="AE122" s="92"/>
      <c r="AF122" s="92"/>
      <c r="AG122" s="93"/>
      <c r="AH122" s="71"/>
      <c r="AI122" s="93"/>
      <c r="AJ122" s="92"/>
      <c r="AK122" s="92"/>
      <c r="AL122" s="92"/>
      <c r="AM122" s="92"/>
      <c r="AN122" s="71"/>
      <c r="AO122" s="93"/>
      <c r="AP122" s="92"/>
      <c r="AQ122" s="92"/>
      <c r="AR122" s="92"/>
      <c r="AS122" s="92"/>
      <c r="AT122" s="71"/>
      <c r="AU122" s="93"/>
      <c r="AV122" s="92"/>
      <c r="AW122" s="92"/>
      <c r="AX122" s="92"/>
      <c r="AY122" s="93"/>
      <c r="AZ122" s="93"/>
      <c r="BA122" s="93"/>
      <c r="BB122" s="93"/>
      <c r="BC122" s="93"/>
      <c r="BD122" s="93"/>
      <c r="BE122" s="93"/>
      <c r="BF122" s="93"/>
      <c r="BG122" s="71"/>
    </row>
    <row r="123" spans="1:59" ht="15.75" customHeight="1">
      <c r="A123" s="93"/>
      <c r="B123" s="93"/>
      <c r="C123" s="93"/>
      <c r="D123" s="93"/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/>
      <c r="AE123" s="93"/>
      <c r="AF123" s="93"/>
      <c r="AG123" s="93"/>
      <c r="AH123" s="93"/>
      <c r="AI123" s="93"/>
      <c r="AJ123" s="93"/>
      <c r="AK123" s="93"/>
      <c r="AL123" s="93"/>
      <c r="AM123" s="93"/>
      <c r="AN123" s="93"/>
      <c r="AO123" s="93"/>
      <c r="AP123" s="93"/>
      <c r="AQ123" s="93"/>
      <c r="AR123" s="93"/>
      <c r="AS123" s="93"/>
      <c r="AT123" s="93"/>
      <c r="AU123" s="93"/>
      <c r="AV123" s="93"/>
      <c r="AW123" s="93"/>
      <c r="AX123" s="93"/>
      <c r="AY123" s="93"/>
      <c r="AZ123" s="93"/>
      <c r="BA123" s="93"/>
      <c r="BB123" s="93"/>
      <c r="BC123" s="93"/>
      <c r="BD123" s="93"/>
      <c r="BE123" s="93"/>
      <c r="BF123" s="93"/>
      <c r="BG123" s="93"/>
    </row>
    <row r="124" spans="1:59" ht="15.75" customHeight="1">
      <c r="A124" s="93"/>
      <c r="B124" s="93"/>
      <c r="C124" s="93"/>
      <c r="D124" s="93"/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  <c r="AA124" s="93"/>
      <c r="AB124" s="93"/>
      <c r="AC124" s="93"/>
      <c r="AD124" s="93"/>
      <c r="AE124" s="93"/>
      <c r="AF124" s="93"/>
      <c r="AG124" s="93"/>
      <c r="AH124" s="93"/>
      <c r="AI124" s="93"/>
      <c r="AJ124" s="93"/>
      <c r="AK124" s="93"/>
      <c r="AL124" s="93"/>
      <c r="AM124" s="93"/>
      <c r="AN124" s="93"/>
      <c r="AO124" s="93"/>
      <c r="AP124" s="93"/>
      <c r="AQ124" s="93"/>
      <c r="AR124" s="93"/>
      <c r="AS124" s="93"/>
      <c r="AT124" s="93"/>
      <c r="AU124" s="93"/>
      <c r="AV124" s="93"/>
      <c r="AW124" s="93"/>
      <c r="AX124" s="93"/>
      <c r="AY124" s="93"/>
      <c r="AZ124" s="93"/>
      <c r="BA124" s="93"/>
      <c r="BB124" s="93"/>
      <c r="BC124" s="93"/>
      <c r="BD124" s="93"/>
      <c r="BE124" s="93"/>
      <c r="BF124" s="93"/>
      <c r="BG124" s="93"/>
    </row>
    <row r="125" spans="1:59" ht="15.75" customHeight="1">
      <c r="A125" s="93"/>
      <c r="B125" s="93"/>
      <c r="C125" s="93"/>
      <c r="D125" s="93"/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/>
      <c r="AE125" s="93"/>
      <c r="AF125" s="93"/>
      <c r="AG125" s="93"/>
      <c r="AH125" s="93"/>
      <c r="AI125" s="93"/>
      <c r="AJ125" s="93"/>
      <c r="AK125" s="93"/>
      <c r="AL125" s="93"/>
      <c r="AM125" s="93"/>
      <c r="AN125" s="93"/>
      <c r="AO125" s="93"/>
      <c r="AP125" s="93"/>
      <c r="AQ125" s="93"/>
      <c r="AR125" s="93"/>
      <c r="AS125" s="93"/>
      <c r="AT125" s="93"/>
      <c r="AU125" s="93"/>
      <c r="AV125" s="93"/>
      <c r="AW125" s="93"/>
      <c r="AX125" s="93"/>
      <c r="AY125" s="93"/>
      <c r="AZ125" s="93"/>
      <c r="BA125" s="93"/>
      <c r="BB125" s="93"/>
      <c r="BC125" s="93"/>
      <c r="BD125" s="93"/>
      <c r="BE125" s="93"/>
      <c r="BF125" s="93"/>
      <c r="BG125" s="93"/>
    </row>
    <row r="126" spans="1:59" ht="15.75" customHeight="1">
      <c r="A126" s="93"/>
      <c r="B126" s="93"/>
      <c r="C126" s="93"/>
      <c r="D126" s="93"/>
      <c r="E126" s="93"/>
      <c r="F126" s="93"/>
      <c r="G126" s="93"/>
      <c r="H126" s="93"/>
      <c r="I126" s="93"/>
      <c r="J126" s="93"/>
      <c r="K126" s="93"/>
      <c r="L126" s="93"/>
      <c r="M126" s="93"/>
      <c r="N126" s="93"/>
      <c r="O126" s="93"/>
      <c r="P126" s="93"/>
      <c r="Q126" s="93"/>
      <c r="R126" s="93"/>
      <c r="S126" s="93"/>
      <c r="T126" s="93"/>
      <c r="U126" s="93"/>
      <c r="V126" s="93"/>
      <c r="W126" s="93"/>
      <c r="X126" s="93"/>
      <c r="Y126" s="93"/>
      <c r="Z126" s="93"/>
      <c r="AA126" s="93"/>
      <c r="AB126" s="93"/>
      <c r="AC126" s="93"/>
      <c r="AD126" s="93"/>
      <c r="AE126" s="93"/>
      <c r="AF126" s="93"/>
      <c r="AG126" s="93"/>
      <c r="AH126" s="93"/>
      <c r="AI126" s="93"/>
      <c r="AJ126" s="93"/>
      <c r="AK126" s="93"/>
      <c r="AL126" s="93"/>
      <c r="AM126" s="93"/>
      <c r="AN126" s="93"/>
      <c r="AO126" s="93"/>
      <c r="AP126" s="93"/>
      <c r="AQ126" s="93"/>
      <c r="AR126" s="93"/>
      <c r="AS126" s="93"/>
      <c r="AT126" s="93"/>
      <c r="AU126" s="93"/>
      <c r="AV126" s="93"/>
      <c r="AW126" s="93"/>
      <c r="AX126" s="93"/>
      <c r="AY126" s="93"/>
      <c r="AZ126" s="93"/>
      <c r="BA126" s="93"/>
      <c r="BB126" s="93"/>
      <c r="BC126" s="93"/>
      <c r="BD126" s="93"/>
      <c r="BE126" s="93"/>
      <c r="BF126" s="93"/>
      <c r="BG126" s="93"/>
    </row>
    <row r="127" spans="1:59" ht="15.75" customHeight="1">
      <c r="A127" s="93"/>
      <c r="B127" s="93"/>
      <c r="C127" s="93"/>
      <c r="D127" s="93"/>
      <c r="E127" s="93"/>
      <c r="F127" s="93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  <c r="AA127" s="93"/>
      <c r="AB127" s="93"/>
      <c r="AC127" s="93"/>
      <c r="AD127" s="93"/>
      <c r="AE127" s="93"/>
      <c r="AF127" s="93"/>
      <c r="AG127" s="93"/>
      <c r="AH127" s="93"/>
      <c r="AI127" s="93"/>
      <c r="AJ127" s="93"/>
      <c r="AK127" s="93"/>
      <c r="AL127" s="93"/>
      <c r="AM127" s="93"/>
      <c r="AN127" s="93"/>
      <c r="AO127" s="93"/>
      <c r="AP127" s="93"/>
      <c r="AQ127" s="93"/>
      <c r="AR127" s="93"/>
      <c r="AS127" s="93"/>
      <c r="AT127" s="93"/>
      <c r="AU127" s="93"/>
      <c r="AV127" s="93"/>
      <c r="AW127" s="93"/>
      <c r="AX127" s="93"/>
      <c r="AY127" s="93"/>
      <c r="AZ127" s="93"/>
      <c r="BA127" s="93"/>
      <c r="BB127" s="93"/>
      <c r="BC127" s="93"/>
      <c r="BD127" s="93"/>
      <c r="BE127" s="93"/>
      <c r="BF127" s="93"/>
      <c r="BG127" s="93"/>
    </row>
    <row r="128" spans="1:59" ht="15.75" customHeight="1">
      <c r="A128" s="93"/>
      <c r="B128" s="93"/>
      <c r="C128" s="93"/>
      <c r="D128" s="93"/>
      <c r="E128" s="93"/>
      <c r="F128" s="93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  <c r="T128" s="93"/>
      <c r="U128" s="93"/>
      <c r="V128" s="93"/>
      <c r="W128" s="93"/>
      <c r="X128" s="93"/>
      <c r="Y128" s="93"/>
      <c r="Z128" s="93"/>
      <c r="AA128" s="93"/>
      <c r="AB128" s="93"/>
      <c r="AC128" s="93"/>
      <c r="AD128" s="93"/>
      <c r="AE128" s="93"/>
      <c r="AF128" s="93"/>
      <c r="AG128" s="93"/>
      <c r="AH128" s="93"/>
      <c r="AI128" s="93"/>
      <c r="AJ128" s="93"/>
      <c r="AK128" s="93"/>
      <c r="AL128" s="93"/>
      <c r="AM128" s="93"/>
      <c r="AN128" s="93"/>
      <c r="AO128" s="93"/>
      <c r="AP128" s="93"/>
      <c r="AQ128" s="93"/>
      <c r="AR128" s="93"/>
      <c r="AS128" s="93"/>
      <c r="AT128" s="93"/>
      <c r="AU128" s="93"/>
      <c r="AV128" s="93"/>
      <c r="AW128" s="93"/>
      <c r="AX128" s="93"/>
      <c r="AY128" s="93"/>
      <c r="AZ128" s="93"/>
      <c r="BA128" s="93"/>
      <c r="BB128" s="93"/>
      <c r="BC128" s="93"/>
      <c r="BD128" s="93"/>
      <c r="BE128" s="93"/>
      <c r="BF128" s="93"/>
      <c r="BG128" s="93"/>
    </row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6">
    <mergeCell ref="J22:N22"/>
    <mergeCell ref="S22:W22"/>
    <mergeCell ref="A18:E18"/>
    <mergeCell ref="J18:N18"/>
    <mergeCell ref="S18:W18"/>
    <mergeCell ref="A20:E20"/>
    <mergeCell ref="J20:N20"/>
    <mergeCell ref="S20:W20"/>
    <mergeCell ref="A22:E22"/>
    <mergeCell ref="J30:N30"/>
    <mergeCell ref="S30:W30"/>
    <mergeCell ref="A32:E32"/>
    <mergeCell ref="J32:N32"/>
    <mergeCell ref="S32:W32"/>
    <mergeCell ref="A34:E34"/>
    <mergeCell ref="J28:N28"/>
    <mergeCell ref="S28:W28"/>
    <mergeCell ref="A24:E24"/>
    <mergeCell ref="J24:N24"/>
    <mergeCell ref="S24:W24"/>
    <mergeCell ref="A26:E26"/>
    <mergeCell ref="J26:N26"/>
    <mergeCell ref="S26:W26"/>
    <mergeCell ref="A28:E28"/>
    <mergeCell ref="BC79:BF79"/>
    <mergeCell ref="S84:W84"/>
    <mergeCell ref="S87:W87"/>
    <mergeCell ref="S92:W92"/>
    <mergeCell ref="S98:W98"/>
    <mergeCell ref="AB98:AF98"/>
    <mergeCell ref="A59:E59"/>
    <mergeCell ref="J61:N61"/>
    <mergeCell ref="A62:E62"/>
    <mergeCell ref="J62:N62"/>
    <mergeCell ref="A65:E65"/>
    <mergeCell ref="J65:N65"/>
    <mergeCell ref="J68:N68"/>
    <mergeCell ref="A68:E68"/>
    <mergeCell ref="A71:E71"/>
    <mergeCell ref="J71:N71"/>
    <mergeCell ref="AB99:AF99"/>
    <mergeCell ref="A77:E77"/>
    <mergeCell ref="A80:E80"/>
    <mergeCell ref="J80:N80"/>
    <mergeCell ref="A83:E83"/>
    <mergeCell ref="J83:N83"/>
    <mergeCell ref="S83:W83"/>
    <mergeCell ref="J88:N88"/>
    <mergeCell ref="J89:N89"/>
    <mergeCell ref="A98:E98"/>
    <mergeCell ref="J77:N77"/>
    <mergeCell ref="A110:E110"/>
    <mergeCell ref="A86:E86"/>
    <mergeCell ref="A89:E89"/>
    <mergeCell ref="A92:E92"/>
    <mergeCell ref="J92:N92"/>
    <mergeCell ref="A95:E95"/>
    <mergeCell ref="J95:N95"/>
    <mergeCell ref="J98:N98"/>
    <mergeCell ref="J4:N4"/>
    <mergeCell ref="J16:N16"/>
    <mergeCell ref="A74:E74"/>
    <mergeCell ref="J74:N74"/>
    <mergeCell ref="J46:N46"/>
    <mergeCell ref="A42:E42"/>
    <mergeCell ref="J42:N42"/>
    <mergeCell ref="A44:E44"/>
    <mergeCell ref="J44:N44"/>
    <mergeCell ref="A46:E46"/>
    <mergeCell ref="J40:N40"/>
    <mergeCell ref="A36:E36"/>
    <mergeCell ref="J36:N36"/>
    <mergeCell ref="A38:E38"/>
    <mergeCell ref="J38:N38"/>
    <mergeCell ref="A40:E40"/>
    <mergeCell ref="S4:W4"/>
    <mergeCell ref="A1:E1"/>
    <mergeCell ref="J1:N1"/>
    <mergeCell ref="S1:W1"/>
    <mergeCell ref="A2:E2"/>
    <mergeCell ref="J2:N2"/>
    <mergeCell ref="S2:W2"/>
    <mergeCell ref="A4:E4"/>
    <mergeCell ref="J10:N10"/>
    <mergeCell ref="S10:W10"/>
    <mergeCell ref="A6:E6"/>
    <mergeCell ref="J6:N6"/>
    <mergeCell ref="S6:W6"/>
    <mergeCell ref="A8:E8"/>
    <mergeCell ref="J8:N8"/>
    <mergeCell ref="S8:W8"/>
    <mergeCell ref="A10:E10"/>
    <mergeCell ref="S51:W51"/>
    <mergeCell ref="A52:E52"/>
    <mergeCell ref="A53:E53"/>
    <mergeCell ref="A56:E56"/>
    <mergeCell ref="S16:W16"/>
    <mergeCell ref="A12:E12"/>
    <mergeCell ref="J12:N12"/>
    <mergeCell ref="S12:W12"/>
    <mergeCell ref="A14:E14"/>
    <mergeCell ref="J14:N14"/>
    <mergeCell ref="S14:W14"/>
    <mergeCell ref="A16:E16"/>
    <mergeCell ref="A48:E48"/>
    <mergeCell ref="J48:N48"/>
    <mergeCell ref="S48:W48"/>
    <mergeCell ref="S46:W46"/>
    <mergeCell ref="S42:W42"/>
    <mergeCell ref="S44:W44"/>
    <mergeCell ref="S40:W40"/>
    <mergeCell ref="S36:W36"/>
    <mergeCell ref="S38:W38"/>
    <mergeCell ref="J34:N34"/>
    <mergeCell ref="S34:W34"/>
    <mergeCell ref="A30:E30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workbookViewId="0"/>
  </sheetViews>
  <sheetFormatPr defaultColWidth="12.625" defaultRowHeight="15" customHeight="1"/>
  <cols>
    <col min="1" max="9" width="8.75" customWidth="1"/>
    <col min="10" max="10" width="13.875" customWidth="1"/>
    <col min="11" max="26" width="14.375" customWidth="1"/>
  </cols>
  <sheetData>
    <row r="1" spans="1:10">
      <c r="A1" s="1"/>
      <c r="B1" s="1" t="s">
        <v>220</v>
      </c>
      <c r="C1" s="1" t="s">
        <v>221</v>
      </c>
      <c r="D1" s="1" t="s">
        <v>222</v>
      </c>
      <c r="E1" s="1" t="s">
        <v>223</v>
      </c>
      <c r="F1" s="1" t="s">
        <v>224</v>
      </c>
      <c r="G1" s="1" t="s">
        <v>225</v>
      </c>
      <c r="H1" s="1" t="s">
        <v>226</v>
      </c>
      <c r="I1" s="1" t="s">
        <v>227</v>
      </c>
      <c r="J1" s="1"/>
    </row>
    <row r="2" spans="1:10">
      <c r="A2" s="1">
        <v>1</v>
      </c>
      <c r="B2" s="1" t="s">
        <v>228</v>
      </c>
      <c r="C2" s="1" t="s">
        <v>229</v>
      </c>
      <c r="D2" s="1" t="s">
        <v>230</v>
      </c>
      <c r="E2" s="1" t="s">
        <v>231</v>
      </c>
      <c r="F2" s="1" t="s">
        <v>232</v>
      </c>
      <c r="G2" s="1" t="s">
        <v>233</v>
      </c>
      <c r="H2" s="1" t="s">
        <v>234</v>
      </c>
      <c r="I2" s="1" t="s">
        <v>235</v>
      </c>
      <c r="J2" s="1" t="str">
        <f t="shared" ref="J2:J496" si="0">COUNTIF($B2:$I2,"*A") &amp; COUNTIF($B2:$I2,"*B") &amp; COUNTIF($B2:$I2,"*C") &amp; COUNTIF($B2:$I2,"*D") &amp; COUNTIF($B2:$I2,"*E") &amp; COUNTIF($B2:$I2,"*F") &amp; COUNTIF($B2:$I2,"*G") &amp; COUNTIF($B2:$I2,"*H") &amp; COUNTIF($B2:$I2,"*I") &amp; COUNTIF($B2:$I2,"*J") &amp; COUNTIF($B2:$I2,"*K") &amp; COUNTIF($B2:$I2,"*L")</f>
        <v>000011111111</v>
      </c>
    </row>
    <row r="3" spans="1:10">
      <c r="A3" s="1">
        <v>2</v>
      </c>
      <c r="B3" s="1" t="s">
        <v>232</v>
      </c>
      <c r="C3" s="1" t="s">
        <v>233</v>
      </c>
      <c r="D3" s="1" t="s">
        <v>230</v>
      </c>
      <c r="E3" s="1" t="s">
        <v>236</v>
      </c>
      <c r="F3" s="1" t="s">
        <v>229</v>
      </c>
      <c r="G3" s="1" t="s">
        <v>231</v>
      </c>
      <c r="H3" s="1" t="s">
        <v>234</v>
      </c>
      <c r="I3" s="1" t="s">
        <v>235</v>
      </c>
      <c r="J3" s="1" t="str">
        <f t="shared" si="0"/>
        <v>000101111111</v>
      </c>
    </row>
    <row r="4" spans="1:10">
      <c r="A4" s="1">
        <v>3</v>
      </c>
      <c r="B4" s="1" t="s">
        <v>228</v>
      </c>
      <c r="C4" s="1" t="s">
        <v>229</v>
      </c>
      <c r="D4" s="1" t="s">
        <v>230</v>
      </c>
      <c r="E4" s="1" t="s">
        <v>236</v>
      </c>
      <c r="F4" s="1" t="s">
        <v>232</v>
      </c>
      <c r="G4" s="1" t="s">
        <v>233</v>
      </c>
      <c r="H4" s="1" t="s">
        <v>234</v>
      </c>
      <c r="I4" s="1" t="s">
        <v>235</v>
      </c>
      <c r="J4" s="1" t="str">
        <f t="shared" si="0"/>
        <v>000110111111</v>
      </c>
    </row>
    <row r="5" spans="1:10">
      <c r="A5" s="1">
        <v>4</v>
      </c>
      <c r="B5" s="1" t="s">
        <v>228</v>
      </c>
      <c r="C5" s="1" t="s">
        <v>229</v>
      </c>
      <c r="D5" s="1" t="s">
        <v>230</v>
      </c>
      <c r="E5" s="1" t="s">
        <v>236</v>
      </c>
      <c r="F5" s="1" t="s">
        <v>232</v>
      </c>
      <c r="G5" s="1" t="s">
        <v>231</v>
      </c>
      <c r="H5" s="1" t="s">
        <v>234</v>
      </c>
      <c r="I5" s="1" t="s">
        <v>235</v>
      </c>
      <c r="J5" s="1" t="str">
        <f t="shared" si="0"/>
        <v>000111011111</v>
      </c>
    </row>
    <row r="6" spans="1:10">
      <c r="A6" s="1">
        <v>5</v>
      </c>
      <c r="B6" s="1" t="s">
        <v>228</v>
      </c>
      <c r="C6" s="1" t="s">
        <v>233</v>
      </c>
      <c r="D6" s="1" t="s">
        <v>230</v>
      </c>
      <c r="E6" s="1" t="s">
        <v>236</v>
      </c>
      <c r="F6" s="1" t="s">
        <v>229</v>
      </c>
      <c r="G6" s="1" t="s">
        <v>231</v>
      </c>
      <c r="H6" s="1" t="s">
        <v>234</v>
      </c>
      <c r="I6" s="1" t="s">
        <v>235</v>
      </c>
      <c r="J6" s="1" t="str">
        <f t="shared" si="0"/>
        <v>000111101111</v>
      </c>
    </row>
    <row r="7" spans="1:10">
      <c r="A7" s="1">
        <v>6</v>
      </c>
      <c r="B7" s="1" t="s">
        <v>228</v>
      </c>
      <c r="C7" s="1" t="s">
        <v>233</v>
      </c>
      <c r="D7" s="1" t="s">
        <v>229</v>
      </c>
      <c r="E7" s="1" t="s">
        <v>236</v>
      </c>
      <c r="F7" s="1" t="s">
        <v>232</v>
      </c>
      <c r="G7" s="1" t="s">
        <v>231</v>
      </c>
      <c r="H7" s="1" t="s">
        <v>234</v>
      </c>
      <c r="I7" s="1" t="s">
        <v>235</v>
      </c>
      <c r="J7" s="1" t="str">
        <f t="shared" si="0"/>
        <v>000111110111</v>
      </c>
    </row>
    <row r="8" spans="1:10">
      <c r="A8" s="1">
        <v>7</v>
      </c>
      <c r="B8" s="1" t="s">
        <v>228</v>
      </c>
      <c r="C8" s="1" t="s">
        <v>233</v>
      </c>
      <c r="D8" s="1" t="s">
        <v>230</v>
      </c>
      <c r="E8" s="1" t="s">
        <v>236</v>
      </c>
      <c r="F8" s="1" t="s">
        <v>232</v>
      </c>
      <c r="G8" s="1" t="s">
        <v>231</v>
      </c>
      <c r="H8" s="1" t="s">
        <v>234</v>
      </c>
      <c r="I8" s="1" t="s">
        <v>235</v>
      </c>
      <c r="J8" s="1" t="str">
        <f t="shared" si="0"/>
        <v>000111111011</v>
      </c>
    </row>
    <row r="9" spans="1:10">
      <c r="A9" s="1">
        <v>8</v>
      </c>
      <c r="B9" s="1" t="s">
        <v>228</v>
      </c>
      <c r="C9" s="1" t="s">
        <v>233</v>
      </c>
      <c r="D9" s="1" t="s">
        <v>229</v>
      </c>
      <c r="E9" s="1" t="s">
        <v>236</v>
      </c>
      <c r="F9" s="1" t="s">
        <v>232</v>
      </c>
      <c r="G9" s="1" t="s">
        <v>231</v>
      </c>
      <c r="H9" s="1" t="s">
        <v>234</v>
      </c>
      <c r="I9" s="1" t="s">
        <v>230</v>
      </c>
      <c r="J9" s="1" t="str">
        <f t="shared" si="0"/>
        <v>000111111101</v>
      </c>
    </row>
    <row r="10" spans="1:10">
      <c r="A10" s="1">
        <v>9</v>
      </c>
      <c r="B10" s="1" t="s">
        <v>228</v>
      </c>
      <c r="C10" s="1" t="s">
        <v>233</v>
      </c>
      <c r="D10" s="1" t="s">
        <v>229</v>
      </c>
      <c r="E10" s="1" t="s">
        <v>236</v>
      </c>
      <c r="F10" s="1" t="s">
        <v>232</v>
      </c>
      <c r="G10" s="1" t="s">
        <v>231</v>
      </c>
      <c r="H10" s="1" t="s">
        <v>230</v>
      </c>
      <c r="I10" s="1" t="s">
        <v>235</v>
      </c>
      <c r="J10" s="1" t="str">
        <f t="shared" si="0"/>
        <v>000111111110</v>
      </c>
    </row>
    <row r="11" spans="1:10">
      <c r="A11" s="1">
        <v>10</v>
      </c>
      <c r="B11" s="1" t="s">
        <v>232</v>
      </c>
      <c r="C11" s="1" t="s">
        <v>233</v>
      </c>
      <c r="D11" s="1" t="s">
        <v>230</v>
      </c>
      <c r="E11" s="1" t="s">
        <v>237</v>
      </c>
      <c r="F11" s="1" t="s">
        <v>229</v>
      </c>
      <c r="G11" s="1" t="s">
        <v>231</v>
      </c>
      <c r="H11" s="1" t="s">
        <v>234</v>
      </c>
      <c r="I11" s="1" t="s">
        <v>235</v>
      </c>
      <c r="J11" s="1" t="str">
        <f t="shared" si="0"/>
        <v>001001111111</v>
      </c>
    </row>
    <row r="12" spans="1:10">
      <c r="A12" s="1">
        <v>11</v>
      </c>
      <c r="B12" s="1" t="s">
        <v>228</v>
      </c>
      <c r="C12" s="1" t="s">
        <v>229</v>
      </c>
      <c r="D12" s="1" t="s">
        <v>230</v>
      </c>
      <c r="E12" s="1" t="s">
        <v>237</v>
      </c>
      <c r="F12" s="1" t="s">
        <v>232</v>
      </c>
      <c r="G12" s="1" t="s">
        <v>233</v>
      </c>
      <c r="H12" s="1" t="s">
        <v>234</v>
      </c>
      <c r="I12" s="1" t="s">
        <v>235</v>
      </c>
      <c r="J12" s="1" t="str">
        <f t="shared" si="0"/>
        <v>001010111111</v>
      </c>
    </row>
    <row r="13" spans="1:10">
      <c r="A13" s="1">
        <v>12</v>
      </c>
      <c r="B13" s="1" t="s">
        <v>228</v>
      </c>
      <c r="C13" s="1" t="s">
        <v>229</v>
      </c>
      <c r="D13" s="1" t="s">
        <v>230</v>
      </c>
      <c r="E13" s="1" t="s">
        <v>237</v>
      </c>
      <c r="F13" s="1" t="s">
        <v>232</v>
      </c>
      <c r="G13" s="1" t="s">
        <v>231</v>
      </c>
      <c r="H13" s="1" t="s">
        <v>234</v>
      </c>
      <c r="I13" s="1" t="s">
        <v>235</v>
      </c>
      <c r="J13" s="1" t="str">
        <f t="shared" si="0"/>
        <v>001011011111</v>
      </c>
    </row>
    <row r="14" spans="1:10">
      <c r="A14" s="1">
        <v>13</v>
      </c>
      <c r="B14" s="1" t="s">
        <v>228</v>
      </c>
      <c r="C14" s="1" t="s">
        <v>233</v>
      </c>
      <c r="D14" s="1" t="s">
        <v>230</v>
      </c>
      <c r="E14" s="1" t="s">
        <v>237</v>
      </c>
      <c r="F14" s="1" t="s">
        <v>229</v>
      </c>
      <c r="G14" s="1" t="s">
        <v>231</v>
      </c>
      <c r="H14" s="1" t="s">
        <v>234</v>
      </c>
      <c r="I14" s="1" t="s">
        <v>235</v>
      </c>
      <c r="J14" s="1" t="str">
        <f t="shared" si="0"/>
        <v>001011101111</v>
      </c>
    </row>
    <row r="15" spans="1:10">
      <c r="A15" s="1">
        <v>14</v>
      </c>
      <c r="B15" s="1" t="s">
        <v>228</v>
      </c>
      <c r="C15" s="1" t="s">
        <v>233</v>
      </c>
      <c r="D15" s="1" t="s">
        <v>229</v>
      </c>
      <c r="E15" s="1" t="s">
        <v>237</v>
      </c>
      <c r="F15" s="1" t="s">
        <v>232</v>
      </c>
      <c r="G15" s="1" t="s">
        <v>231</v>
      </c>
      <c r="H15" s="1" t="s">
        <v>234</v>
      </c>
      <c r="I15" s="1" t="s">
        <v>235</v>
      </c>
      <c r="J15" s="1" t="str">
        <f t="shared" si="0"/>
        <v>001011110111</v>
      </c>
    </row>
    <row r="16" spans="1:10">
      <c r="A16" s="1">
        <v>15</v>
      </c>
      <c r="B16" s="1" t="s">
        <v>228</v>
      </c>
      <c r="C16" s="1" t="s">
        <v>233</v>
      </c>
      <c r="D16" s="1" t="s">
        <v>230</v>
      </c>
      <c r="E16" s="1" t="s">
        <v>237</v>
      </c>
      <c r="F16" s="1" t="s">
        <v>232</v>
      </c>
      <c r="G16" s="1" t="s">
        <v>231</v>
      </c>
      <c r="H16" s="1" t="s">
        <v>234</v>
      </c>
      <c r="I16" s="1" t="s">
        <v>235</v>
      </c>
      <c r="J16" s="1" t="str">
        <f t="shared" si="0"/>
        <v>001011111011</v>
      </c>
    </row>
    <row r="17" spans="1:10">
      <c r="A17" s="1">
        <v>16</v>
      </c>
      <c r="B17" s="1" t="s">
        <v>228</v>
      </c>
      <c r="C17" s="1" t="s">
        <v>233</v>
      </c>
      <c r="D17" s="1" t="s">
        <v>229</v>
      </c>
      <c r="E17" s="1" t="s">
        <v>237</v>
      </c>
      <c r="F17" s="1" t="s">
        <v>232</v>
      </c>
      <c r="G17" s="1" t="s">
        <v>231</v>
      </c>
      <c r="H17" s="1" t="s">
        <v>234</v>
      </c>
      <c r="I17" s="1" t="s">
        <v>230</v>
      </c>
      <c r="J17" s="1" t="str">
        <f t="shared" si="0"/>
        <v>001011111101</v>
      </c>
    </row>
    <row r="18" spans="1:10">
      <c r="A18" s="1">
        <v>17</v>
      </c>
      <c r="B18" s="1" t="s">
        <v>228</v>
      </c>
      <c r="C18" s="1" t="s">
        <v>233</v>
      </c>
      <c r="D18" s="1" t="s">
        <v>229</v>
      </c>
      <c r="E18" s="1" t="s">
        <v>237</v>
      </c>
      <c r="F18" s="1" t="s">
        <v>232</v>
      </c>
      <c r="G18" s="1" t="s">
        <v>231</v>
      </c>
      <c r="H18" s="1" t="s">
        <v>230</v>
      </c>
      <c r="I18" s="1" t="s">
        <v>235</v>
      </c>
      <c r="J18" s="1" t="str">
        <f t="shared" si="0"/>
        <v>001011111110</v>
      </c>
    </row>
    <row r="19" spans="1:10">
      <c r="A19" s="1">
        <v>18</v>
      </c>
      <c r="B19" s="1" t="s">
        <v>232</v>
      </c>
      <c r="C19" s="1" t="s">
        <v>233</v>
      </c>
      <c r="D19" s="1" t="s">
        <v>230</v>
      </c>
      <c r="E19" s="1" t="s">
        <v>237</v>
      </c>
      <c r="F19" s="1" t="s">
        <v>229</v>
      </c>
      <c r="G19" s="1" t="s">
        <v>236</v>
      </c>
      <c r="H19" s="1" t="s">
        <v>234</v>
      </c>
      <c r="I19" s="1" t="s">
        <v>235</v>
      </c>
      <c r="J19" s="1" t="str">
        <f t="shared" si="0"/>
        <v>001100111111</v>
      </c>
    </row>
    <row r="20" spans="1:10">
      <c r="A20" s="1">
        <v>19</v>
      </c>
      <c r="B20" s="1" t="s">
        <v>237</v>
      </c>
      <c r="C20" s="1" t="s">
        <v>229</v>
      </c>
      <c r="D20" s="1" t="s">
        <v>230</v>
      </c>
      <c r="E20" s="1" t="s">
        <v>236</v>
      </c>
      <c r="F20" s="1" t="s">
        <v>232</v>
      </c>
      <c r="G20" s="1" t="s">
        <v>231</v>
      </c>
      <c r="H20" s="1" t="s">
        <v>234</v>
      </c>
      <c r="I20" s="1" t="s">
        <v>235</v>
      </c>
      <c r="J20" s="1" t="str">
        <f t="shared" si="0"/>
        <v>001101011111</v>
      </c>
    </row>
    <row r="21" spans="1:10" ht="15.75" customHeight="1">
      <c r="A21" s="1">
        <v>20</v>
      </c>
      <c r="B21" s="1" t="s">
        <v>237</v>
      </c>
      <c r="C21" s="1" t="s">
        <v>233</v>
      </c>
      <c r="D21" s="1" t="s">
        <v>230</v>
      </c>
      <c r="E21" s="1" t="s">
        <v>236</v>
      </c>
      <c r="F21" s="1" t="s">
        <v>229</v>
      </c>
      <c r="G21" s="1" t="s">
        <v>231</v>
      </c>
      <c r="H21" s="1" t="s">
        <v>234</v>
      </c>
      <c r="I21" s="1" t="s">
        <v>235</v>
      </c>
      <c r="J21" s="1" t="str">
        <f t="shared" si="0"/>
        <v>001101101111</v>
      </c>
    </row>
    <row r="22" spans="1:10" ht="15.75" customHeight="1">
      <c r="A22" s="1">
        <v>21</v>
      </c>
      <c r="B22" s="1" t="s">
        <v>237</v>
      </c>
      <c r="C22" s="1" t="s">
        <v>233</v>
      </c>
      <c r="D22" s="1" t="s">
        <v>229</v>
      </c>
      <c r="E22" s="1" t="s">
        <v>236</v>
      </c>
      <c r="F22" s="1" t="s">
        <v>232</v>
      </c>
      <c r="G22" s="1" t="s">
        <v>231</v>
      </c>
      <c r="H22" s="1" t="s">
        <v>234</v>
      </c>
      <c r="I22" s="1" t="s">
        <v>235</v>
      </c>
      <c r="J22" s="1" t="str">
        <f t="shared" si="0"/>
        <v>001101110111</v>
      </c>
    </row>
    <row r="23" spans="1:10" ht="15.75" customHeight="1">
      <c r="A23" s="1">
        <v>22</v>
      </c>
      <c r="B23" s="1" t="s">
        <v>237</v>
      </c>
      <c r="C23" s="1" t="s">
        <v>233</v>
      </c>
      <c r="D23" s="1" t="s">
        <v>230</v>
      </c>
      <c r="E23" s="1" t="s">
        <v>236</v>
      </c>
      <c r="F23" s="1" t="s">
        <v>232</v>
      </c>
      <c r="G23" s="1" t="s">
        <v>231</v>
      </c>
      <c r="H23" s="1" t="s">
        <v>234</v>
      </c>
      <c r="I23" s="1" t="s">
        <v>235</v>
      </c>
      <c r="J23" s="1" t="str">
        <f t="shared" si="0"/>
        <v>001101111011</v>
      </c>
    </row>
    <row r="24" spans="1:10" ht="15.75" customHeight="1">
      <c r="A24" s="1">
        <v>23</v>
      </c>
      <c r="B24" s="1" t="s">
        <v>237</v>
      </c>
      <c r="C24" s="1" t="s">
        <v>233</v>
      </c>
      <c r="D24" s="1" t="s">
        <v>229</v>
      </c>
      <c r="E24" s="1" t="s">
        <v>236</v>
      </c>
      <c r="F24" s="1" t="s">
        <v>232</v>
      </c>
      <c r="G24" s="1" t="s">
        <v>231</v>
      </c>
      <c r="H24" s="1" t="s">
        <v>234</v>
      </c>
      <c r="I24" s="1" t="s">
        <v>230</v>
      </c>
      <c r="J24" s="1" t="str">
        <f t="shared" si="0"/>
        <v>001101111101</v>
      </c>
    </row>
    <row r="25" spans="1:10" ht="15.75" customHeight="1">
      <c r="A25" s="1">
        <v>24</v>
      </c>
      <c r="B25" s="1" t="s">
        <v>237</v>
      </c>
      <c r="C25" s="1" t="s">
        <v>233</v>
      </c>
      <c r="D25" s="1" t="s">
        <v>229</v>
      </c>
      <c r="E25" s="1" t="s">
        <v>236</v>
      </c>
      <c r="F25" s="1" t="s">
        <v>232</v>
      </c>
      <c r="G25" s="1" t="s">
        <v>231</v>
      </c>
      <c r="H25" s="1" t="s">
        <v>230</v>
      </c>
      <c r="I25" s="1" t="s">
        <v>235</v>
      </c>
      <c r="J25" s="1" t="str">
        <f t="shared" si="0"/>
        <v>001101111110</v>
      </c>
    </row>
    <row r="26" spans="1:10" ht="15.75" customHeight="1">
      <c r="A26" s="1">
        <v>25</v>
      </c>
      <c r="B26" s="1" t="s">
        <v>228</v>
      </c>
      <c r="C26" s="1" t="s">
        <v>229</v>
      </c>
      <c r="D26" s="1" t="s">
        <v>230</v>
      </c>
      <c r="E26" s="1" t="s">
        <v>237</v>
      </c>
      <c r="F26" s="1" t="s">
        <v>232</v>
      </c>
      <c r="G26" s="1" t="s">
        <v>236</v>
      </c>
      <c r="H26" s="1" t="s">
        <v>234</v>
      </c>
      <c r="I26" s="1" t="s">
        <v>235</v>
      </c>
      <c r="J26" s="1" t="str">
        <f t="shared" si="0"/>
        <v>001110011111</v>
      </c>
    </row>
    <row r="27" spans="1:10" ht="15.75" customHeight="1">
      <c r="A27" s="1">
        <v>26</v>
      </c>
      <c r="B27" s="1" t="s">
        <v>228</v>
      </c>
      <c r="C27" s="1" t="s">
        <v>233</v>
      </c>
      <c r="D27" s="1" t="s">
        <v>230</v>
      </c>
      <c r="E27" s="1" t="s">
        <v>237</v>
      </c>
      <c r="F27" s="1" t="s">
        <v>229</v>
      </c>
      <c r="G27" s="1" t="s">
        <v>236</v>
      </c>
      <c r="H27" s="1" t="s">
        <v>234</v>
      </c>
      <c r="I27" s="1" t="s">
        <v>235</v>
      </c>
      <c r="J27" s="1" t="str">
        <f t="shared" si="0"/>
        <v>001110101111</v>
      </c>
    </row>
    <row r="28" spans="1:10" ht="15.75" customHeight="1">
      <c r="A28" s="1">
        <v>27</v>
      </c>
      <c r="B28" s="1" t="s">
        <v>228</v>
      </c>
      <c r="C28" s="1" t="s">
        <v>233</v>
      </c>
      <c r="D28" s="1" t="s">
        <v>229</v>
      </c>
      <c r="E28" s="1" t="s">
        <v>237</v>
      </c>
      <c r="F28" s="1" t="s">
        <v>232</v>
      </c>
      <c r="G28" s="1" t="s">
        <v>236</v>
      </c>
      <c r="H28" s="1" t="s">
        <v>234</v>
      </c>
      <c r="I28" s="1" t="s">
        <v>235</v>
      </c>
      <c r="J28" s="1" t="str">
        <f t="shared" si="0"/>
        <v>001110110111</v>
      </c>
    </row>
    <row r="29" spans="1:10" ht="15.75" customHeight="1">
      <c r="A29" s="1">
        <v>28</v>
      </c>
      <c r="B29" s="1" t="s">
        <v>228</v>
      </c>
      <c r="C29" s="1" t="s">
        <v>233</v>
      </c>
      <c r="D29" s="1" t="s">
        <v>230</v>
      </c>
      <c r="E29" s="1" t="s">
        <v>237</v>
      </c>
      <c r="F29" s="1" t="s">
        <v>232</v>
      </c>
      <c r="G29" s="1" t="s">
        <v>236</v>
      </c>
      <c r="H29" s="1" t="s">
        <v>234</v>
      </c>
      <c r="I29" s="1" t="s">
        <v>235</v>
      </c>
      <c r="J29" s="1" t="str">
        <f t="shared" si="0"/>
        <v>001110111011</v>
      </c>
    </row>
    <row r="30" spans="1:10" ht="15.75" customHeight="1">
      <c r="A30" s="1">
        <v>29</v>
      </c>
      <c r="B30" s="1" t="s">
        <v>228</v>
      </c>
      <c r="C30" s="1" t="s">
        <v>233</v>
      </c>
      <c r="D30" s="1" t="s">
        <v>229</v>
      </c>
      <c r="E30" s="1" t="s">
        <v>237</v>
      </c>
      <c r="F30" s="1" t="s">
        <v>232</v>
      </c>
      <c r="G30" s="1" t="s">
        <v>236</v>
      </c>
      <c r="H30" s="1" t="s">
        <v>234</v>
      </c>
      <c r="I30" s="1" t="s">
        <v>230</v>
      </c>
      <c r="J30" s="1" t="str">
        <f t="shared" si="0"/>
        <v>001110111101</v>
      </c>
    </row>
    <row r="31" spans="1:10" ht="15.75" customHeight="1">
      <c r="A31" s="1">
        <v>30</v>
      </c>
      <c r="B31" s="1" t="s">
        <v>228</v>
      </c>
      <c r="C31" s="1" t="s">
        <v>233</v>
      </c>
      <c r="D31" s="1" t="s">
        <v>229</v>
      </c>
      <c r="E31" s="1" t="s">
        <v>237</v>
      </c>
      <c r="F31" s="1" t="s">
        <v>232</v>
      </c>
      <c r="G31" s="1" t="s">
        <v>236</v>
      </c>
      <c r="H31" s="1" t="s">
        <v>230</v>
      </c>
      <c r="I31" s="1" t="s">
        <v>235</v>
      </c>
      <c r="J31" s="1" t="str">
        <f t="shared" si="0"/>
        <v>001110111110</v>
      </c>
    </row>
    <row r="32" spans="1:10" ht="15.75" customHeight="1">
      <c r="A32" s="1">
        <v>31</v>
      </c>
      <c r="B32" s="1" t="s">
        <v>237</v>
      </c>
      <c r="C32" s="1" t="s">
        <v>229</v>
      </c>
      <c r="D32" s="1" t="s">
        <v>228</v>
      </c>
      <c r="E32" s="1" t="s">
        <v>236</v>
      </c>
      <c r="F32" s="1" t="s">
        <v>230</v>
      </c>
      <c r="G32" s="1" t="s">
        <v>231</v>
      </c>
      <c r="H32" s="1" t="s">
        <v>234</v>
      </c>
      <c r="I32" s="1" t="s">
        <v>235</v>
      </c>
      <c r="J32" s="1" t="str">
        <f t="shared" si="0"/>
        <v>001111001111</v>
      </c>
    </row>
    <row r="33" spans="1:10" ht="15.75" customHeight="1">
      <c r="A33" s="1">
        <v>32</v>
      </c>
      <c r="B33" s="1" t="s">
        <v>237</v>
      </c>
      <c r="C33" s="1" t="s">
        <v>229</v>
      </c>
      <c r="D33" s="1" t="s">
        <v>228</v>
      </c>
      <c r="E33" s="1" t="s">
        <v>236</v>
      </c>
      <c r="F33" s="1" t="s">
        <v>232</v>
      </c>
      <c r="G33" s="1" t="s">
        <v>231</v>
      </c>
      <c r="H33" s="1" t="s">
        <v>234</v>
      </c>
      <c r="I33" s="1" t="s">
        <v>235</v>
      </c>
      <c r="J33" s="1" t="str">
        <f t="shared" si="0"/>
        <v>001111010111</v>
      </c>
    </row>
    <row r="34" spans="1:10" ht="15.75" customHeight="1">
      <c r="A34" s="1">
        <v>33</v>
      </c>
      <c r="B34" s="1" t="s">
        <v>237</v>
      </c>
      <c r="C34" s="1" t="s">
        <v>228</v>
      </c>
      <c r="D34" s="1" t="s">
        <v>230</v>
      </c>
      <c r="E34" s="1" t="s">
        <v>236</v>
      </c>
      <c r="F34" s="1" t="s">
        <v>232</v>
      </c>
      <c r="G34" s="1" t="s">
        <v>231</v>
      </c>
      <c r="H34" s="1" t="s">
        <v>234</v>
      </c>
      <c r="I34" s="1" t="s">
        <v>235</v>
      </c>
      <c r="J34" s="1" t="str">
        <f t="shared" si="0"/>
        <v>001111011011</v>
      </c>
    </row>
    <row r="35" spans="1:10" ht="15.75" customHeight="1">
      <c r="A35" s="1">
        <v>34</v>
      </c>
      <c r="B35" s="1" t="s">
        <v>237</v>
      </c>
      <c r="C35" s="1" t="s">
        <v>229</v>
      </c>
      <c r="D35" s="1" t="s">
        <v>228</v>
      </c>
      <c r="E35" s="1" t="s">
        <v>236</v>
      </c>
      <c r="F35" s="1" t="s">
        <v>232</v>
      </c>
      <c r="G35" s="1" t="s">
        <v>231</v>
      </c>
      <c r="H35" s="1" t="s">
        <v>234</v>
      </c>
      <c r="I35" s="1" t="s">
        <v>230</v>
      </c>
      <c r="J35" s="1" t="str">
        <f t="shared" si="0"/>
        <v>001111011101</v>
      </c>
    </row>
    <row r="36" spans="1:10" ht="15.75" customHeight="1">
      <c r="A36" s="1">
        <v>35</v>
      </c>
      <c r="B36" s="1" t="s">
        <v>237</v>
      </c>
      <c r="C36" s="1" t="s">
        <v>229</v>
      </c>
      <c r="D36" s="1" t="s">
        <v>228</v>
      </c>
      <c r="E36" s="1" t="s">
        <v>236</v>
      </c>
      <c r="F36" s="1" t="s">
        <v>232</v>
      </c>
      <c r="G36" s="1" t="s">
        <v>231</v>
      </c>
      <c r="H36" s="1" t="s">
        <v>230</v>
      </c>
      <c r="I36" s="1" t="s">
        <v>235</v>
      </c>
      <c r="J36" s="1" t="str">
        <f t="shared" si="0"/>
        <v>001111011110</v>
      </c>
    </row>
    <row r="37" spans="1:10" ht="15.75" customHeight="1">
      <c r="A37" s="1">
        <v>36</v>
      </c>
      <c r="B37" s="1" t="s">
        <v>237</v>
      </c>
      <c r="C37" s="1" t="s">
        <v>233</v>
      </c>
      <c r="D37" s="1" t="s">
        <v>228</v>
      </c>
      <c r="E37" s="1" t="s">
        <v>236</v>
      </c>
      <c r="F37" s="1" t="s">
        <v>229</v>
      </c>
      <c r="G37" s="1" t="s">
        <v>231</v>
      </c>
      <c r="H37" s="1" t="s">
        <v>234</v>
      </c>
      <c r="I37" s="1" t="s">
        <v>235</v>
      </c>
      <c r="J37" s="1" t="str">
        <f t="shared" si="0"/>
        <v>001111100111</v>
      </c>
    </row>
    <row r="38" spans="1:10" ht="15.75" customHeight="1">
      <c r="A38" s="1">
        <v>37</v>
      </c>
      <c r="B38" s="1" t="s">
        <v>237</v>
      </c>
      <c r="C38" s="1" t="s">
        <v>233</v>
      </c>
      <c r="D38" s="1" t="s">
        <v>228</v>
      </c>
      <c r="E38" s="1" t="s">
        <v>236</v>
      </c>
      <c r="F38" s="1" t="s">
        <v>230</v>
      </c>
      <c r="G38" s="1" t="s">
        <v>231</v>
      </c>
      <c r="H38" s="1" t="s">
        <v>234</v>
      </c>
      <c r="I38" s="1" t="s">
        <v>235</v>
      </c>
      <c r="J38" s="1" t="str">
        <f t="shared" si="0"/>
        <v>001111101011</v>
      </c>
    </row>
    <row r="39" spans="1:10" ht="15.75" customHeight="1">
      <c r="A39" s="1">
        <v>38</v>
      </c>
      <c r="B39" s="1" t="s">
        <v>237</v>
      </c>
      <c r="C39" s="1" t="s">
        <v>233</v>
      </c>
      <c r="D39" s="1" t="s">
        <v>228</v>
      </c>
      <c r="E39" s="1" t="s">
        <v>236</v>
      </c>
      <c r="F39" s="1" t="s">
        <v>229</v>
      </c>
      <c r="G39" s="1" t="s">
        <v>231</v>
      </c>
      <c r="H39" s="1" t="s">
        <v>234</v>
      </c>
      <c r="I39" s="1" t="s">
        <v>230</v>
      </c>
      <c r="J39" s="1" t="str">
        <f t="shared" si="0"/>
        <v>001111101101</v>
      </c>
    </row>
    <row r="40" spans="1:10" ht="15.75" customHeight="1">
      <c r="A40" s="1">
        <v>39</v>
      </c>
      <c r="B40" s="1" t="s">
        <v>237</v>
      </c>
      <c r="C40" s="1" t="s">
        <v>233</v>
      </c>
      <c r="D40" s="1" t="s">
        <v>228</v>
      </c>
      <c r="E40" s="1" t="s">
        <v>236</v>
      </c>
      <c r="F40" s="1" t="s">
        <v>229</v>
      </c>
      <c r="G40" s="1" t="s">
        <v>231</v>
      </c>
      <c r="H40" s="1" t="s">
        <v>230</v>
      </c>
      <c r="I40" s="1" t="s">
        <v>235</v>
      </c>
      <c r="J40" s="1" t="str">
        <f t="shared" si="0"/>
        <v>001111101110</v>
      </c>
    </row>
    <row r="41" spans="1:10" ht="15.75" customHeight="1">
      <c r="A41" s="1">
        <v>40</v>
      </c>
      <c r="B41" s="1" t="s">
        <v>237</v>
      </c>
      <c r="C41" s="1" t="s">
        <v>233</v>
      </c>
      <c r="D41" s="1" t="s">
        <v>228</v>
      </c>
      <c r="E41" s="1" t="s">
        <v>236</v>
      </c>
      <c r="F41" s="1" t="s">
        <v>232</v>
      </c>
      <c r="G41" s="1" t="s">
        <v>231</v>
      </c>
      <c r="H41" s="1" t="s">
        <v>234</v>
      </c>
      <c r="I41" s="1" t="s">
        <v>235</v>
      </c>
      <c r="J41" s="1" t="str">
        <f t="shared" si="0"/>
        <v>001111110011</v>
      </c>
    </row>
    <row r="42" spans="1:10" ht="15.75" customHeight="1">
      <c r="A42" s="1">
        <v>41</v>
      </c>
      <c r="B42" s="1" t="s">
        <v>237</v>
      </c>
      <c r="C42" s="1" t="s">
        <v>233</v>
      </c>
      <c r="D42" s="1" t="s">
        <v>229</v>
      </c>
      <c r="E42" s="1" t="s">
        <v>236</v>
      </c>
      <c r="F42" s="1" t="s">
        <v>232</v>
      </c>
      <c r="G42" s="1" t="s">
        <v>231</v>
      </c>
      <c r="H42" s="1" t="s">
        <v>234</v>
      </c>
      <c r="I42" s="1" t="s">
        <v>228</v>
      </c>
      <c r="J42" s="1" t="str">
        <f t="shared" si="0"/>
        <v>001111110101</v>
      </c>
    </row>
    <row r="43" spans="1:10" ht="15.75" customHeight="1">
      <c r="A43" s="1">
        <v>42</v>
      </c>
      <c r="B43" s="1" t="s">
        <v>237</v>
      </c>
      <c r="C43" s="1" t="s">
        <v>233</v>
      </c>
      <c r="D43" s="1" t="s">
        <v>229</v>
      </c>
      <c r="E43" s="1" t="s">
        <v>236</v>
      </c>
      <c r="F43" s="1" t="s">
        <v>232</v>
      </c>
      <c r="G43" s="1" t="s">
        <v>231</v>
      </c>
      <c r="H43" s="1" t="s">
        <v>228</v>
      </c>
      <c r="I43" s="1" t="s">
        <v>235</v>
      </c>
      <c r="J43" s="1" t="str">
        <f t="shared" si="0"/>
        <v>001111110110</v>
      </c>
    </row>
    <row r="44" spans="1:10" ht="15.75" customHeight="1">
      <c r="A44" s="1">
        <v>43</v>
      </c>
      <c r="B44" s="1" t="s">
        <v>237</v>
      </c>
      <c r="C44" s="1" t="s">
        <v>233</v>
      </c>
      <c r="D44" s="1" t="s">
        <v>228</v>
      </c>
      <c r="E44" s="1" t="s">
        <v>236</v>
      </c>
      <c r="F44" s="1" t="s">
        <v>232</v>
      </c>
      <c r="G44" s="1" t="s">
        <v>231</v>
      </c>
      <c r="H44" s="1" t="s">
        <v>234</v>
      </c>
      <c r="I44" s="1" t="s">
        <v>230</v>
      </c>
      <c r="J44" s="1" t="str">
        <f t="shared" si="0"/>
        <v>001111111001</v>
      </c>
    </row>
    <row r="45" spans="1:10" ht="15.75" customHeight="1">
      <c r="A45" s="1">
        <v>44</v>
      </c>
      <c r="B45" s="1" t="s">
        <v>237</v>
      </c>
      <c r="C45" s="1" t="s">
        <v>233</v>
      </c>
      <c r="D45" s="1" t="s">
        <v>228</v>
      </c>
      <c r="E45" s="1" t="s">
        <v>236</v>
      </c>
      <c r="F45" s="1" t="s">
        <v>232</v>
      </c>
      <c r="G45" s="1" t="s">
        <v>231</v>
      </c>
      <c r="H45" s="1" t="s">
        <v>230</v>
      </c>
      <c r="I45" s="1" t="s">
        <v>235</v>
      </c>
      <c r="J45" s="1" t="str">
        <f t="shared" si="0"/>
        <v>001111111010</v>
      </c>
    </row>
    <row r="46" spans="1:10" ht="15.75" customHeight="1">
      <c r="A46" s="1">
        <v>45</v>
      </c>
      <c r="B46" s="1" t="s">
        <v>237</v>
      </c>
      <c r="C46" s="1" t="s">
        <v>233</v>
      </c>
      <c r="D46" s="1" t="s">
        <v>229</v>
      </c>
      <c r="E46" s="1" t="s">
        <v>236</v>
      </c>
      <c r="F46" s="1" t="s">
        <v>232</v>
      </c>
      <c r="G46" s="1" t="s">
        <v>231</v>
      </c>
      <c r="H46" s="1" t="s">
        <v>228</v>
      </c>
      <c r="I46" s="1" t="s">
        <v>230</v>
      </c>
      <c r="J46" s="1" t="str">
        <f t="shared" si="0"/>
        <v>001111111100</v>
      </c>
    </row>
    <row r="47" spans="1:10" ht="15.75" customHeight="1">
      <c r="A47" s="1">
        <v>46</v>
      </c>
      <c r="B47" s="1" t="s">
        <v>232</v>
      </c>
      <c r="C47" s="1" t="s">
        <v>229</v>
      </c>
      <c r="D47" s="1" t="s">
        <v>238</v>
      </c>
      <c r="E47" s="1" t="s">
        <v>231</v>
      </c>
      <c r="F47" s="1" t="s">
        <v>230</v>
      </c>
      <c r="G47" s="1" t="s">
        <v>233</v>
      </c>
      <c r="H47" s="1" t="s">
        <v>234</v>
      </c>
      <c r="I47" s="1" t="s">
        <v>235</v>
      </c>
      <c r="J47" s="1" t="str">
        <f t="shared" si="0"/>
        <v>010001111111</v>
      </c>
    </row>
    <row r="48" spans="1:10" ht="15.75" customHeight="1">
      <c r="A48" s="1">
        <v>47</v>
      </c>
      <c r="B48" s="1" t="s">
        <v>228</v>
      </c>
      <c r="C48" s="1" t="s">
        <v>229</v>
      </c>
      <c r="D48" s="1" t="s">
        <v>230</v>
      </c>
      <c r="E48" s="1" t="s">
        <v>238</v>
      </c>
      <c r="F48" s="1" t="s">
        <v>232</v>
      </c>
      <c r="G48" s="1" t="s">
        <v>233</v>
      </c>
      <c r="H48" s="1" t="s">
        <v>234</v>
      </c>
      <c r="I48" s="1" t="s">
        <v>235</v>
      </c>
      <c r="J48" s="1" t="str">
        <f t="shared" si="0"/>
        <v>010010111111</v>
      </c>
    </row>
    <row r="49" spans="1:10" ht="15.75" customHeight="1">
      <c r="A49" s="1">
        <v>48</v>
      </c>
      <c r="B49" s="1" t="s">
        <v>228</v>
      </c>
      <c r="C49" s="1" t="s">
        <v>229</v>
      </c>
      <c r="D49" s="1" t="s">
        <v>238</v>
      </c>
      <c r="E49" s="1" t="s">
        <v>231</v>
      </c>
      <c r="F49" s="1" t="s">
        <v>230</v>
      </c>
      <c r="G49" s="1" t="s">
        <v>232</v>
      </c>
      <c r="H49" s="1" t="s">
        <v>234</v>
      </c>
      <c r="I49" s="1" t="s">
        <v>235</v>
      </c>
      <c r="J49" s="1" t="str">
        <f t="shared" si="0"/>
        <v>010011011111</v>
      </c>
    </row>
    <row r="50" spans="1:10" ht="15.75" customHeight="1">
      <c r="A50" s="1">
        <v>49</v>
      </c>
      <c r="B50" s="1" t="s">
        <v>228</v>
      </c>
      <c r="C50" s="1" t="s">
        <v>229</v>
      </c>
      <c r="D50" s="1" t="s">
        <v>238</v>
      </c>
      <c r="E50" s="1" t="s">
        <v>231</v>
      </c>
      <c r="F50" s="1" t="s">
        <v>230</v>
      </c>
      <c r="G50" s="1" t="s">
        <v>233</v>
      </c>
      <c r="H50" s="1" t="s">
        <v>234</v>
      </c>
      <c r="I50" s="1" t="s">
        <v>235</v>
      </c>
      <c r="J50" s="1" t="str">
        <f t="shared" si="0"/>
        <v>010011101111</v>
      </c>
    </row>
    <row r="51" spans="1:10" ht="15.75" customHeight="1">
      <c r="A51" s="1">
        <v>50</v>
      </c>
      <c r="B51" s="1" t="s">
        <v>228</v>
      </c>
      <c r="C51" s="1" t="s">
        <v>229</v>
      </c>
      <c r="D51" s="1" t="s">
        <v>238</v>
      </c>
      <c r="E51" s="1" t="s">
        <v>231</v>
      </c>
      <c r="F51" s="1" t="s">
        <v>232</v>
      </c>
      <c r="G51" s="1" t="s">
        <v>233</v>
      </c>
      <c r="H51" s="1" t="s">
        <v>234</v>
      </c>
      <c r="I51" s="1" t="s">
        <v>235</v>
      </c>
      <c r="J51" s="1" t="str">
        <f t="shared" si="0"/>
        <v>010011110111</v>
      </c>
    </row>
    <row r="52" spans="1:10" ht="15.75" customHeight="1">
      <c r="A52" s="1">
        <v>51</v>
      </c>
      <c r="B52" s="1" t="s">
        <v>228</v>
      </c>
      <c r="C52" s="1" t="s">
        <v>233</v>
      </c>
      <c r="D52" s="1" t="s">
        <v>238</v>
      </c>
      <c r="E52" s="1" t="s">
        <v>231</v>
      </c>
      <c r="F52" s="1" t="s">
        <v>230</v>
      </c>
      <c r="G52" s="1" t="s">
        <v>232</v>
      </c>
      <c r="H52" s="1" t="s">
        <v>234</v>
      </c>
      <c r="I52" s="1" t="s">
        <v>235</v>
      </c>
      <c r="J52" s="1" t="str">
        <f t="shared" si="0"/>
        <v>010011111011</v>
      </c>
    </row>
    <row r="53" spans="1:10" ht="15.75" customHeight="1">
      <c r="A53" s="1">
        <v>52</v>
      </c>
      <c r="B53" s="1" t="s">
        <v>228</v>
      </c>
      <c r="C53" s="1" t="s">
        <v>229</v>
      </c>
      <c r="D53" s="1" t="s">
        <v>238</v>
      </c>
      <c r="E53" s="1" t="s">
        <v>231</v>
      </c>
      <c r="F53" s="1" t="s">
        <v>232</v>
      </c>
      <c r="G53" s="1" t="s">
        <v>233</v>
      </c>
      <c r="H53" s="1" t="s">
        <v>234</v>
      </c>
      <c r="I53" s="1" t="s">
        <v>230</v>
      </c>
      <c r="J53" s="1" t="str">
        <f t="shared" si="0"/>
        <v>010011111101</v>
      </c>
    </row>
    <row r="54" spans="1:10" ht="15.75" customHeight="1">
      <c r="A54" s="1">
        <v>53</v>
      </c>
      <c r="B54" s="1" t="s">
        <v>228</v>
      </c>
      <c r="C54" s="1" t="s">
        <v>229</v>
      </c>
      <c r="D54" s="1" t="s">
        <v>238</v>
      </c>
      <c r="E54" s="1" t="s">
        <v>231</v>
      </c>
      <c r="F54" s="1" t="s">
        <v>232</v>
      </c>
      <c r="G54" s="1" t="s">
        <v>233</v>
      </c>
      <c r="H54" s="1" t="s">
        <v>230</v>
      </c>
      <c r="I54" s="1" t="s">
        <v>235</v>
      </c>
      <c r="J54" s="1" t="str">
        <f t="shared" si="0"/>
        <v>010011111110</v>
      </c>
    </row>
    <row r="55" spans="1:10" ht="15.75" customHeight="1">
      <c r="A55" s="1">
        <v>54</v>
      </c>
      <c r="B55" s="1" t="s">
        <v>232</v>
      </c>
      <c r="C55" s="1" t="s">
        <v>229</v>
      </c>
      <c r="D55" s="1" t="s">
        <v>238</v>
      </c>
      <c r="E55" s="1" t="s">
        <v>236</v>
      </c>
      <c r="F55" s="1" t="s">
        <v>230</v>
      </c>
      <c r="G55" s="1" t="s">
        <v>233</v>
      </c>
      <c r="H55" s="1" t="s">
        <v>234</v>
      </c>
      <c r="I55" s="1" t="s">
        <v>235</v>
      </c>
      <c r="J55" s="1" t="str">
        <f t="shared" si="0"/>
        <v>010100111111</v>
      </c>
    </row>
    <row r="56" spans="1:10" ht="15.75" customHeight="1">
      <c r="A56" s="1">
        <v>55</v>
      </c>
      <c r="B56" s="1" t="s">
        <v>232</v>
      </c>
      <c r="C56" s="1" t="s">
        <v>229</v>
      </c>
      <c r="D56" s="1" t="s">
        <v>238</v>
      </c>
      <c r="E56" s="1" t="s">
        <v>236</v>
      </c>
      <c r="F56" s="1" t="s">
        <v>230</v>
      </c>
      <c r="G56" s="1" t="s">
        <v>231</v>
      </c>
      <c r="H56" s="1" t="s">
        <v>234</v>
      </c>
      <c r="I56" s="1" t="s">
        <v>235</v>
      </c>
      <c r="J56" s="1" t="str">
        <f t="shared" si="0"/>
        <v>010101011111</v>
      </c>
    </row>
    <row r="57" spans="1:10" ht="15.75" customHeight="1">
      <c r="A57" s="1">
        <v>56</v>
      </c>
      <c r="B57" s="1" t="s">
        <v>230</v>
      </c>
      <c r="C57" s="1" t="s">
        <v>233</v>
      </c>
      <c r="D57" s="1" t="s">
        <v>238</v>
      </c>
      <c r="E57" s="1" t="s">
        <v>236</v>
      </c>
      <c r="F57" s="1" t="s">
        <v>229</v>
      </c>
      <c r="G57" s="1" t="s">
        <v>231</v>
      </c>
      <c r="H57" s="1" t="s">
        <v>234</v>
      </c>
      <c r="I57" s="1" t="s">
        <v>235</v>
      </c>
      <c r="J57" s="1" t="str">
        <f t="shared" si="0"/>
        <v>010101101111</v>
      </c>
    </row>
    <row r="58" spans="1:10" ht="15.75" customHeight="1">
      <c r="A58" s="1">
        <v>57</v>
      </c>
      <c r="B58" s="1" t="s">
        <v>232</v>
      </c>
      <c r="C58" s="1" t="s">
        <v>233</v>
      </c>
      <c r="D58" s="1" t="s">
        <v>238</v>
      </c>
      <c r="E58" s="1" t="s">
        <v>236</v>
      </c>
      <c r="F58" s="1" t="s">
        <v>229</v>
      </c>
      <c r="G58" s="1" t="s">
        <v>231</v>
      </c>
      <c r="H58" s="1" t="s">
        <v>234</v>
      </c>
      <c r="I58" s="1" t="s">
        <v>235</v>
      </c>
      <c r="J58" s="1" t="str">
        <f t="shared" si="0"/>
        <v>010101110111</v>
      </c>
    </row>
    <row r="59" spans="1:10" ht="15.75" customHeight="1">
      <c r="A59" s="1">
        <v>58</v>
      </c>
      <c r="B59" s="1" t="s">
        <v>232</v>
      </c>
      <c r="C59" s="1" t="s">
        <v>233</v>
      </c>
      <c r="D59" s="1" t="s">
        <v>238</v>
      </c>
      <c r="E59" s="1" t="s">
        <v>236</v>
      </c>
      <c r="F59" s="1" t="s">
        <v>230</v>
      </c>
      <c r="G59" s="1" t="s">
        <v>231</v>
      </c>
      <c r="H59" s="1" t="s">
        <v>234</v>
      </c>
      <c r="I59" s="1" t="s">
        <v>235</v>
      </c>
      <c r="J59" s="1" t="str">
        <f t="shared" si="0"/>
        <v>010101111011</v>
      </c>
    </row>
    <row r="60" spans="1:10" ht="15.75" customHeight="1">
      <c r="A60" s="1">
        <v>59</v>
      </c>
      <c r="B60" s="1" t="s">
        <v>232</v>
      </c>
      <c r="C60" s="1" t="s">
        <v>233</v>
      </c>
      <c r="D60" s="1" t="s">
        <v>238</v>
      </c>
      <c r="E60" s="1" t="s">
        <v>236</v>
      </c>
      <c r="F60" s="1" t="s">
        <v>229</v>
      </c>
      <c r="G60" s="1" t="s">
        <v>231</v>
      </c>
      <c r="H60" s="1" t="s">
        <v>234</v>
      </c>
      <c r="I60" s="1" t="s">
        <v>230</v>
      </c>
      <c r="J60" s="1" t="str">
        <f t="shared" si="0"/>
        <v>010101111101</v>
      </c>
    </row>
    <row r="61" spans="1:10" ht="15.75" customHeight="1">
      <c r="A61" s="1">
        <v>60</v>
      </c>
      <c r="B61" s="1" t="s">
        <v>232</v>
      </c>
      <c r="C61" s="1" t="s">
        <v>233</v>
      </c>
      <c r="D61" s="1" t="s">
        <v>238</v>
      </c>
      <c r="E61" s="1" t="s">
        <v>236</v>
      </c>
      <c r="F61" s="1" t="s">
        <v>229</v>
      </c>
      <c r="G61" s="1" t="s">
        <v>231</v>
      </c>
      <c r="H61" s="1" t="s">
        <v>230</v>
      </c>
      <c r="I61" s="1" t="s">
        <v>235</v>
      </c>
      <c r="J61" s="1" t="str">
        <f t="shared" si="0"/>
        <v>010101111110</v>
      </c>
    </row>
    <row r="62" spans="1:10" ht="15.75" customHeight="1">
      <c r="A62" s="1">
        <v>61</v>
      </c>
      <c r="B62" s="1" t="s">
        <v>228</v>
      </c>
      <c r="C62" s="1" t="s">
        <v>229</v>
      </c>
      <c r="D62" s="1" t="s">
        <v>238</v>
      </c>
      <c r="E62" s="1" t="s">
        <v>236</v>
      </c>
      <c r="F62" s="1" t="s">
        <v>230</v>
      </c>
      <c r="G62" s="1" t="s">
        <v>232</v>
      </c>
      <c r="H62" s="1" t="s">
        <v>234</v>
      </c>
      <c r="I62" s="1" t="s">
        <v>235</v>
      </c>
      <c r="J62" s="1" t="str">
        <f t="shared" si="0"/>
        <v>010110011111</v>
      </c>
    </row>
    <row r="63" spans="1:10" ht="15.75" customHeight="1">
      <c r="A63" s="1">
        <v>62</v>
      </c>
      <c r="B63" s="1" t="s">
        <v>228</v>
      </c>
      <c r="C63" s="1" t="s">
        <v>229</v>
      </c>
      <c r="D63" s="1" t="s">
        <v>238</v>
      </c>
      <c r="E63" s="1" t="s">
        <v>236</v>
      </c>
      <c r="F63" s="1" t="s">
        <v>230</v>
      </c>
      <c r="G63" s="1" t="s">
        <v>233</v>
      </c>
      <c r="H63" s="1" t="s">
        <v>234</v>
      </c>
      <c r="I63" s="1" t="s">
        <v>235</v>
      </c>
      <c r="J63" s="1" t="str">
        <f t="shared" si="0"/>
        <v>010110101111</v>
      </c>
    </row>
    <row r="64" spans="1:10" ht="15.75" customHeight="1">
      <c r="A64" s="1">
        <v>63</v>
      </c>
      <c r="B64" s="1" t="s">
        <v>228</v>
      </c>
      <c r="C64" s="1" t="s">
        <v>229</v>
      </c>
      <c r="D64" s="1" t="s">
        <v>238</v>
      </c>
      <c r="E64" s="1" t="s">
        <v>236</v>
      </c>
      <c r="F64" s="1" t="s">
        <v>232</v>
      </c>
      <c r="G64" s="1" t="s">
        <v>233</v>
      </c>
      <c r="H64" s="1" t="s">
        <v>234</v>
      </c>
      <c r="I64" s="1" t="s">
        <v>235</v>
      </c>
      <c r="J64" s="1" t="str">
        <f t="shared" si="0"/>
        <v>010110110111</v>
      </c>
    </row>
    <row r="65" spans="1:10" ht="15.75" customHeight="1">
      <c r="A65" s="1">
        <v>64</v>
      </c>
      <c r="B65" s="1" t="s">
        <v>228</v>
      </c>
      <c r="C65" s="1" t="s">
        <v>233</v>
      </c>
      <c r="D65" s="1" t="s">
        <v>238</v>
      </c>
      <c r="E65" s="1" t="s">
        <v>236</v>
      </c>
      <c r="F65" s="1" t="s">
        <v>230</v>
      </c>
      <c r="G65" s="1" t="s">
        <v>232</v>
      </c>
      <c r="H65" s="1" t="s">
        <v>234</v>
      </c>
      <c r="I65" s="1" t="s">
        <v>235</v>
      </c>
      <c r="J65" s="1" t="str">
        <f t="shared" si="0"/>
        <v>010110111011</v>
      </c>
    </row>
    <row r="66" spans="1:10" ht="15.75" customHeight="1">
      <c r="A66" s="1">
        <v>65</v>
      </c>
      <c r="B66" s="1" t="s">
        <v>228</v>
      </c>
      <c r="C66" s="1" t="s">
        <v>229</v>
      </c>
      <c r="D66" s="1" t="s">
        <v>238</v>
      </c>
      <c r="E66" s="1" t="s">
        <v>236</v>
      </c>
      <c r="F66" s="1" t="s">
        <v>232</v>
      </c>
      <c r="G66" s="1" t="s">
        <v>233</v>
      </c>
      <c r="H66" s="1" t="s">
        <v>234</v>
      </c>
      <c r="I66" s="1" t="s">
        <v>230</v>
      </c>
      <c r="J66" s="1" t="str">
        <f t="shared" si="0"/>
        <v>010110111101</v>
      </c>
    </row>
    <row r="67" spans="1:10" ht="15.75" customHeight="1">
      <c r="A67" s="1">
        <v>66</v>
      </c>
      <c r="B67" s="1" t="s">
        <v>228</v>
      </c>
      <c r="C67" s="1" t="s">
        <v>229</v>
      </c>
      <c r="D67" s="1" t="s">
        <v>238</v>
      </c>
      <c r="E67" s="1" t="s">
        <v>236</v>
      </c>
      <c r="F67" s="1" t="s">
        <v>232</v>
      </c>
      <c r="G67" s="1" t="s">
        <v>233</v>
      </c>
      <c r="H67" s="1" t="s">
        <v>230</v>
      </c>
      <c r="I67" s="1" t="s">
        <v>235</v>
      </c>
      <c r="J67" s="1" t="str">
        <f t="shared" si="0"/>
        <v>010110111110</v>
      </c>
    </row>
    <row r="68" spans="1:10" ht="15.75" customHeight="1">
      <c r="A68" s="1">
        <v>67</v>
      </c>
      <c r="B68" s="1" t="s">
        <v>228</v>
      </c>
      <c r="C68" s="1" t="s">
        <v>229</v>
      </c>
      <c r="D68" s="1" t="s">
        <v>238</v>
      </c>
      <c r="E68" s="1" t="s">
        <v>236</v>
      </c>
      <c r="F68" s="1" t="s">
        <v>230</v>
      </c>
      <c r="G68" s="1" t="s">
        <v>231</v>
      </c>
      <c r="H68" s="1" t="s">
        <v>234</v>
      </c>
      <c r="I68" s="1" t="s">
        <v>235</v>
      </c>
      <c r="J68" s="1" t="str">
        <f t="shared" si="0"/>
        <v>010111001111</v>
      </c>
    </row>
    <row r="69" spans="1:10" ht="15.75" customHeight="1">
      <c r="A69" s="1">
        <v>68</v>
      </c>
      <c r="B69" s="1" t="s">
        <v>228</v>
      </c>
      <c r="C69" s="1" t="s">
        <v>229</v>
      </c>
      <c r="D69" s="1" t="s">
        <v>238</v>
      </c>
      <c r="E69" s="1" t="s">
        <v>236</v>
      </c>
      <c r="F69" s="1" t="s">
        <v>232</v>
      </c>
      <c r="G69" s="1" t="s">
        <v>231</v>
      </c>
      <c r="H69" s="1" t="s">
        <v>234</v>
      </c>
      <c r="I69" s="1" t="s">
        <v>235</v>
      </c>
      <c r="J69" s="1" t="str">
        <f t="shared" si="0"/>
        <v>010111010111</v>
      </c>
    </row>
    <row r="70" spans="1:10" ht="15.75" customHeight="1">
      <c r="A70" s="1">
        <v>69</v>
      </c>
      <c r="B70" s="1" t="s">
        <v>228</v>
      </c>
      <c r="C70" s="1" t="s">
        <v>230</v>
      </c>
      <c r="D70" s="1" t="s">
        <v>238</v>
      </c>
      <c r="E70" s="1" t="s">
        <v>236</v>
      </c>
      <c r="F70" s="1" t="s">
        <v>232</v>
      </c>
      <c r="G70" s="1" t="s">
        <v>231</v>
      </c>
      <c r="H70" s="1" t="s">
        <v>234</v>
      </c>
      <c r="I70" s="1" t="s">
        <v>235</v>
      </c>
      <c r="J70" s="1" t="str">
        <f t="shared" si="0"/>
        <v>010111011011</v>
      </c>
    </row>
    <row r="71" spans="1:10" ht="15.75" customHeight="1">
      <c r="A71" s="1">
        <v>70</v>
      </c>
      <c r="B71" s="1" t="s">
        <v>228</v>
      </c>
      <c r="C71" s="1" t="s">
        <v>229</v>
      </c>
      <c r="D71" s="1" t="s">
        <v>238</v>
      </c>
      <c r="E71" s="1" t="s">
        <v>236</v>
      </c>
      <c r="F71" s="1" t="s">
        <v>232</v>
      </c>
      <c r="G71" s="1" t="s">
        <v>231</v>
      </c>
      <c r="H71" s="1" t="s">
        <v>234</v>
      </c>
      <c r="I71" s="1" t="s">
        <v>230</v>
      </c>
      <c r="J71" s="1" t="str">
        <f t="shared" si="0"/>
        <v>010111011101</v>
      </c>
    </row>
    <row r="72" spans="1:10" ht="15.75" customHeight="1">
      <c r="A72" s="1">
        <v>71</v>
      </c>
      <c r="B72" s="1" t="s">
        <v>228</v>
      </c>
      <c r="C72" s="1" t="s">
        <v>229</v>
      </c>
      <c r="D72" s="1" t="s">
        <v>238</v>
      </c>
      <c r="E72" s="1" t="s">
        <v>236</v>
      </c>
      <c r="F72" s="1" t="s">
        <v>232</v>
      </c>
      <c r="G72" s="1" t="s">
        <v>231</v>
      </c>
      <c r="H72" s="1" t="s">
        <v>230</v>
      </c>
      <c r="I72" s="1" t="s">
        <v>235</v>
      </c>
      <c r="J72" s="1" t="str">
        <f t="shared" si="0"/>
        <v>010111011110</v>
      </c>
    </row>
    <row r="73" spans="1:10" ht="15.75" customHeight="1">
      <c r="A73" s="1">
        <v>72</v>
      </c>
      <c r="B73" s="1" t="s">
        <v>228</v>
      </c>
      <c r="C73" s="1" t="s">
        <v>233</v>
      </c>
      <c r="D73" s="1" t="s">
        <v>238</v>
      </c>
      <c r="E73" s="1" t="s">
        <v>236</v>
      </c>
      <c r="F73" s="1" t="s">
        <v>229</v>
      </c>
      <c r="G73" s="1" t="s">
        <v>231</v>
      </c>
      <c r="H73" s="1" t="s">
        <v>234</v>
      </c>
      <c r="I73" s="1" t="s">
        <v>235</v>
      </c>
      <c r="J73" s="1" t="str">
        <f t="shared" si="0"/>
        <v>010111100111</v>
      </c>
    </row>
    <row r="74" spans="1:10" ht="15.75" customHeight="1">
      <c r="A74" s="1">
        <v>73</v>
      </c>
      <c r="B74" s="1" t="s">
        <v>228</v>
      </c>
      <c r="C74" s="1" t="s">
        <v>233</v>
      </c>
      <c r="D74" s="1" t="s">
        <v>238</v>
      </c>
      <c r="E74" s="1" t="s">
        <v>236</v>
      </c>
      <c r="F74" s="1" t="s">
        <v>230</v>
      </c>
      <c r="G74" s="1" t="s">
        <v>231</v>
      </c>
      <c r="H74" s="1" t="s">
        <v>234</v>
      </c>
      <c r="I74" s="1" t="s">
        <v>235</v>
      </c>
      <c r="J74" s="1" t="str">
        <f t="shared" si="0"/>
        <v>010111101011</v>
      </c>
    </row>
    <row r="75" spans="1:10" ht="15.75" customHeight="1">
      <c r="A75" s="1">
        <v>74</v>
      </c>
      <c r="B75" s="1" t="s">
        <v>228</v>
      </c>
      <c r="C75" s="1" t="s">
        <v>233</v>
      </c>
      <c r="D75" s="1" t="s">
        <v>238</v>
      </c>
      <c r="E75" s="1" t="s">
        <v>236</v>
      </c>
      <c r="F75" s="1" t="s">
        <v>229</v>
      </c>
      <c r="G75" s="1" t="s">
        <v>231</v>
      </c>
      <c r="H75" s="1" t="s">
        <v>234</v>
      </c>
      <c r="I75" s="1" t="s">
        <v>230</v>
      </c>
      <c r="J75" s="1" t="str">
        <f t="shared" si="0"/>
        <v>010111101101</v>
      </c>
    </row>
    <row r="76" spans="1:10" ht="15.75" customHeight="1">
      <c r="A76" s="1">
        <v>75</v>
      </c>
      <c r="B76" s="1" t="s">
        <v>228</v>
      </c>
      <c r="C76" s="1" t="s">
        <v>233</v>
      </c>
      <c r="D76" s="1" t="s">
        <v>238</v>
      </c>
      <c r="E76" s="1" t="s">
        <v>236</v>
      </c>
      <c r="F76" s="1" t="s">
        <v>229</v>
      </c>
      <c r="G76" s="1" t="s">
        <v>231</v>
      </c>
      <c r="H76" s="1" t="s">
        <v>230</v>
      </c>
      <c r="I76" s="1" t="s">
        <v>235</v>
      </c>
      <c r="J76" s="1" t="str">
        <f t="shared" si="0"/>
        <v>010111101110</v>
      </c>
    </row>
    <row r="77" spans="1:10" ht="15.75" customHeight="1">
      <c r="A77" s="1">
        <v>76</v>
      </c>
      <c r="B77" s="1" t="s">
        <v>228</v>
      </c>
      <c r="C77" s="1" t="s">
        <v>233</v>
      </c>
      <c r="D77" s="1" t="s">
        <v>238</v>
      </c>
      <c r="E77" s="1" t="s">
        <v>236</v>
      </c>
      <c r="F77" s="1" t="s">
        <v>232</v>
      </c>
      <c r="G77" s="1" t="s">
        <v>231</v>
      </c>
      <c r="H77" s="1" t="s">
        <v>234</v>
      </c>
      <c r="I77" s="1" t="s">
        <v>235</v>
      </c>
      <c r="J77" s="1" t="str">
        <f t="shared" si="0"/>
        <v>010111110011</v>
      </c>
    </row>
    <row r="78" spans="1:10" ht="15.75" customHeight="1">
      <c r="A78" s="1">
        <v>77</v>
      </c>
      <c r="B78" s="1" t="s">
        <v>232</v>
      </c>
      <c r="C78" s="1" t="s">
        <v>233</v>
      </c>
      <c r="D78" s="1" t="s">
        <v>238</v>
      </c>
      <c r="E78" s="1" t="s">
        <v>236</v>
      </c>
      <c r="F78" s="1" t="s">
        <v>229</v>
      </c>
      <c r="G78" s="1" t="s">
        <v>231</v>
      </c>
      <c r="H78" s="1" t="s">
        <v>234</v>
      </c>
      <c r="I78" s="1" t="s">
        <v>228</v>
      </c>
      <c r="J78" s="1" t="str">
        <f t="shared" si="0"/>
        <v>010111110101</v>
      </c>
    </row>
    <row r="79" spans="1:10" ht="15.75" customHeight="1">
      <c r="A79" s="1">
        <v>78</v>
      </c>
      <c r="B79" s="1" t="s">
        <v>232</v>
      </c>
      <c r="C79" s="1" t="s">
        <v>233</v>
      </c>
      <c r="D79" s="1" t="s">
        <v>238</v>
      </c>
      <c r="E79" s="1" t="s">
        <v>236</v>
      </c>
      <c r="F79" s="1" t="s">
        <v>229</v>
      </c>
      <c r="G79" s="1" t="s">
        <v>231</v>
      </c>
      <c r="H79" s="1" t="s">
        <v>228</v>
      </c>
      <c r="I79" s="1" t="s">
        <v>235</v>
      </c>
      <c r="J79" s="1" t="str">
        <f t="shared" si="0"/>
        <v>010111110110</v>
      </c>
    </row>
    <row r="80" spans="1:10" ht="15.75" customHeight="1">
      <c r="A80" s="1">
        <v>79</v>
      </c>
      <c r="B80" s="1" t="s">
        <v>228</v>
      </c>
      <c r="C80" s="1" t="s">
        <v>233</v>
      </c>
      <c r="D80" s="1" t="s">
        <v>238</v>
      </c>
      <c r="E80" s="1" t="s">
        <v>236</v>
      </c>
      <c r="F80" s="1" t="s">
        <v>232</v>
      </c>
      <c r="G80" s="1" t="s">
        <v>231</v>
      </c>
      <c r="H80" s="1" t="s">
        <v>234</v>
      </c>
      <c r="I80" s="1" t="s">
        <v>230</v>
      </c>
      <c r="J80" s="1" t="str">
        <f t="shared" si="0"/>
        <v>010111111001</v>
      </c>
    </row>
    <row r="81" spans="1:10" ht="15.75" customHeight="1">
      <c r="A81" s="1">
        <v>80</v>
      </c>
      <c r="B81" s="1" t="s">
        <v>228</v>
      </c>
      <c r="C81" s="1" t="s">
        <v>233</v>
      </c>
      <c r="D81" s="1" t="s">
        <v>238</v>
      </c>
      <c r="E81" s="1" t="s">
        <v>236</v>
      </c>
      <c r="F81" s="1" t="s">
        <v>232</v>
      </c>
      <c r="G81" s="1" t="s">
        <v>231</v>
      </c>
      <c r="H81" s="1" t="s">
        <v>230</v>
      </c>
      <c r="I81" s="1" t="s">
        <v>235</v>
      </c>
      <c r="J81" s="1" t="str">
        <f t="shared" si="0"/>
        <v>010111111010</v>
      </c>
    </row>
    <row r="82" spans="1:10" ht="15.75" customHeight="1">
      <c r="A82" s="1">
        <v>81</v>
      </c>
      <c r="B82" s="1" t="s">
        <v>232</v>
      </c>
      <c r="C82" s="1" t="s">
        <v>233</v>
      </c>
      <c r="D82" s="1" t="s">
        <v>238</v>
      </c>
      <c r="E82" s="1" t="s">
        <v>236</v>
      </c>
      <c r="F82" s="1" t="s">
        <v>229</v>
      </c>
      <c r="G82" s="1" t="s">
        <v>231</v>
      </c>
      <c r="H82" s="1" t="s">
        <v>228</v>
      </c>
      <c r="I82" s="1" t="s">
        <v>230</v>
      </c>
      <c r="J82" s="1" t="str">
        <f t="shared" si="0"/>
        <v>010111111100</v>
      </c>
    </row>
    <row r="83" spans="1:10" ht="15.75" customHeight="1">
      <c r="A83" s="1">
        <v>82</v>
      </c>
      <c r="B83" s="1" t="s">
        <v>232</v>
      </c>
      <c r="C83" s="1" t="s">
        <v>229</v>
      </c>
      <c r="D83" s="1" t="s">
        <v>238</v>
      </c>
      <c r="E83" s="1" t="s">
        <v>237</v>
      </c>
      <c r="F83" s="1" t="s">
        <v>230</v>
      </c>
      <c r="G83" s="1" t="s">
        <v>233</v>
      </c>
      <c r="H83" s="1" t="s">
        <v>234</v>
      </c>
      <c r="I83" s="1" t="s">
        <v>235</v>
      </c>
      <c r="J83" s="1" t="str">
        <f t="shared" si="0"/>
        <v>011000111111</v>
      </c>
    </row>
    <row r="84" spans="1:10" ht="15.75" customHeight="1">
      <c r="A84" s="1">
        <v>83</v>
      </c>
      <c r="B84" s="1" t="s">
        <v>232</v>
      </c>
      <c r="C84" s="1" t="s">
        <v>229</v>
      </c>
      <c r="D84" s="1" t="s">
        <v>238</v>
      </c>
      <c r="E84" s="1" t="s">
        <v>237</v>
      </c>
      <c r="F84" s="1" t="s">
        <v>230</v>
      </c>
      <c r="G84" s="1" t="s">
        <v>231</v>
      </c>
      <c r="H84" s="1" t="s">
        <v>234</v>
      </c>
      <c r="I84" s="1" t="s">
        <v>235</v>
      </c>
      <c r="J84" s="1" t="str">
        <f t="shared" si="0"/>
        <v>011001011111</v>
      </c>
    </row>
    <row r="85" spans="1:10" ht="15.75" customHeight="1">
      <c r="A85" s="1">
        <v>84</v>
      </c>
      <c r="B85" s="1" t="s">
        <v>230</v>
      </c>
      <c r="C85" s="1" t="s">
        <v>233</v>
      </c>
      <c r="D85" s="1" t="s">
        <v>238</v>
      </c>
      <c r="E85" s="1" t="s">
        <v>237</v>
      </c>
      <c r="F85" s="1" t="s">
        <v>229</v>
      </c>
      <c r="G85" s="1" t="s">
        <v>231</v>
      </c>
      <c r="H85" s="1" t="s">
        <v>234</v>
      </c>
      <c r="I85" s="1" t="s">
        <v>235</v>
      </c>
      <c r="J85" s="1" t="str">
        <f t="shared" si="0"/>
        <v>011001101111</v>
      </c>
    </row>
    <row r="86" spans="1:10" ht="15.75" customHeight="1">
      <c r="A86" s="1">
        <v>85</v>
      </c>
      <c r="B86" s="1" t="s">
        <v>232</v>
      </c>
      <c r="C86" s="1" t="s">
        <v>233</v>
      </c>
      <c r="D86" s="1" t="s">
        <v>238</v>
      </c>
      <c r="E86" s="1" t="s">
        <v>237</v>
      </c>
      <c r="F86" s="1" t="s">
        <v>229</v>
      </c>
      <c r="G86" s="1" t="s">
        <v>231</v>
      </c>
      <c r="H86" s="1" t="s">
        <v>234</v>
      </c>
      <c r="I86" s="1" t="s">
        <v>235</v>
      </c>
      <c r="J86" s="1" t="str">
        <f t="shared" si="0"/>
        <v>011001110111</v>
      </c>
    </row>
    <row r="87" spans="1:10" ht="15.75" customHeight="1">
      <c r="A87" s="1">
        <v>86</v>
      </c>
      <c r="B87" s="1" t="s">
        <v>232</v>
      </c>
      <c r="C87" s="1" t="s">
        <v>233</v>
      </c>
      <c r="D87" s="1" t="s">
        <v>238</v>
      </c>
      <c r="E87" s="1" t="s">
        <v>237</v>
      </c>
      <c r="F87" s="1" t="s">
        <v>230</v>
      </c>
      <c r="G87" s="1" t="s">
        <v>231</v>
      </c>
      <c r="H87" s="1" t="s">
        <v>234</v>
      </c>
      <c r="I87" s="1" t="s">
        <v>235</v>
      </c>
      <c r="J87" s="1" t="str">
        <f t="shared" si="0"/>
        <v>011001111011</v>
      </c>
    </row>
    <row r="88" spans="1:10" ht="15.75" customHeight="1">
      <c r="A88" s="1">
        <v>87</v>
      </c>
      <c r="B88" s="1" t="s">
        <v>232</v>
      </c>
      <c r="C88" s="1" t="s">
        <v>233</v>
      </c>
      <c r="D88" s="1" t="s">
        <v>238</v>
      </c>
      <c r="E88" s="1" t="s">
        <v>237</v>
      </c>
      <c r="F88" s="1" t="s">
        <v>229</v>
      </c>
      <c r="G88" s="1" t="s">
        <v>231</v>
      </c>
      <c r="H88" s="1" t="s">
        <v>234</v>
      </c>
      <c r="I88" s="1" t="s">
        <v>230</v>
      </c>
      <c r="J88" s="1" t="str">
        <f t="shared" si="0"/>
        <v>011001111101</v>
      </c>
    </row>
    <row r="89" spans="1:10" ht="15.75" customHeight="1">
      <c r="A89" s="1">
        <v>88</v>
      </c>
      <c r="B89" s="1" t="s">
        <v>232</v>
      </c>
      <c r="C89" s="1" t="s">
        <v>233</v>
      </c>
      <c r="D89" s="1" t="s">
        <v>238</v>
      </c>
      <c r="E89" s="1" t="s">
        <v>237</v>
      </c>
      <c r="F89" s="1" t="s">
        <v>229</v>
      </c>
      <c r="G89" s="1" t="s">
        <v>231</v>
      </c>
      <c r="H89" s="1" t="s">
        <v>230</v>
      </c>
      <c r="I89" s="1" t="s">
        <v>235</v>
      </c>
      <c r="J89" s="1" t="str">
        <f t="shared" si="0"/>
        <v>011001111110</v>
      </c>
    </row>
    <row r="90" spans="1:10" ht="15.75" customHeight="1">
      <c r="A90" s="1">
        <v>89</v>
      </c>
      <c r="B90" s="1" t="s">
        <v>228</v>
      </c>
      <c r="C90" s="1" t="s">
        <v>229</v>
      </c>
      <c r="D90" s="1" t="s">
        <v>238</v>
      </c>
      <c r="E90" s="1" t="s">
        <v>237</v>
      </c>
      <c r="F90" s="1" t="s">
        <v>230</v>
      </c>
      <c r="G90" s="1" t="s">
        <v>232</v>
      </c>
      <c r="H90" s="1" t="s">
        <v>234</v>
      </c>
      <c r="I90" s="1" t="s">
        <v>235</v>
      </c>
      <c r="J90" s="1" t="str">
        <f t="shared" si="0"/>
        <v>011010011111</v>
      </c>
    </row>
    <row r="91" spans="1:10" ht="15.75" customHeight="1">
      <c r="A91" s="1">
        <v>90</v>
      </c>
      <c r="B91" s="1" t="s">
        <v>228</v>
      </c>
      <c r="C91" s="1" t="s">
        <v>229</v>
      </c>
      <c r="D91" s="1" t="s">
        <v>238</v>
      </c>
      <c r="E91" s="1" t="s">
        <v>237</v>
      </c>
      <c r="F91" s="1" t="s">
        <v>230</v>
      </c>
      <c r="G91" s="1" t="s">
        <v>233</v>
      </c>
      <c r="H91" s="1" t="s">
        <v>234</v>
      </c>
      <c r="I91" s="1" t="s">
        <v>235</v>
      </c>
      <c r="J91" s="1" t="str">
        <f t="shared" si="0"/>
        <v>011010101111</v>
      </c>
    </row>
    <row r="92" spans="1:10" ht="15.75" customHeight="1">
      <c r="A92" s="1">
        <v>91</v>
      </c>
      <c r="B92" s="1" t="s">
        <v>228</v>
      </c>
      <c r="C92" s="1" t="s">
        <v>229</v>
      </c>
      <c r="D92" s="1" t="s">
        <v>238</v>
      </c>
      <c r="E92" s="1" t="s">
        <v>237</v>
      </c>
      <c r="F92" s="1" t="s">
        <v>232</v>
      </c>
      <c r="G92" s="1" t="s">
        <v>233</v>
      </c>
      <c r="H92" s="1" t="s">
        <v>234</v>
      </c>
      <c r="I92" s="1" t="s">
        <v>235</v>
      </c>
      <c r="J92" s="1" t="str">
        <f t="shared" si="0"/>
        <v>011010110111</v>
      </c>
    </row>
    <row r="93" spans="1:10" ht="15.75" customHeight="1">
      <c r="A93" s="1">
        <v>92</v>
      </c>
      <c r="B93" s="1" t="s">
        <v>228</v>
      </c>
      <c r="C93" s="1" t="s">
        <v>233</v>
      </c>
      <c r="D93" s="1" t="s">
        <v>238</v>
      </c>
      <c r="E93" s="1" t="s">
        <v>237</v>
      </c>
      <c r="F93" s="1" t="s">
        <v>230</v>
      </c>
      <c r="G93" s="1" t="s">
        <v>232</v>
      </c>
      <c r="H93" s="1" t="s">
        <v>234</v>
      </c>
      <c r="I93" s="1" t="s">
        <v>235</v>
      </c>
      <c r="J93" s="1" t="str">
        <f t="shared" si="0"/>
        <v>011010111011</v>
      </c>
    </row>
    <row r="94" spans="1:10" ht="15.75" customHeight="1">
      <c r="A94" s="1">
        <v>93</v>
      </c>
      <c r="B94" s="1" t="s">
        <v>228</v>
      </c>
      <c r="C94" s="1" t="s">
        <v>229</v>
      </c>
      <c r="D94" s="1" t="s">
        <v>238</v>
      </c>
      <c r="E94" s="1" t="s">
        <v>237</v>
      </c>
      <c r="F94" s="1" t="s">
        <v>232</v>
      </c>
      <c r="G94" s="1" t="s">
        <v>233</v>
      </c>
      <c r="H94" s="1" t="s">
        <v>234</v>
      </c>
      <c r="I94" s="1" t="s">
        <v>230</v>
      </c>
      <c r="J94" s="1" t="str">
        <f t="shared" si="0"/>
        <v>011010111101</v>
      </c>
    </row>
    <row r="95" spans="1:10" ht="15.75" customHeight="1">
      <c r="A95" s="1">
        <v>94</v>
      </c>
      <c r="B95" s="1" t="s">
        <v>228</v>
      </c>
      <c r="C95" s="1" t="s">
        <v>229</v>
      </c>
      <c r="D95" s="1" t="s">
        <v>238</v>
      </c>
      <c r="E95" s="1" t="s">
        <v>237</v>
      </c>
      <c r="F95" s="1" t="s">
        <v>232</v>
      </c>
      <c r="G95" s="1" t="s">
        <v>233</v>
      </c>
      <c r="H95" s="1" t="s">
        <v>230</v>
      </c>
      <c r="I95" s="1" t="s">
        <v>235</v>
      </c>
      <c r="J95" s="1" t="str">
        <f t="shared" si="0"/>
        <v>011010111110</v>
      </c>
    </row>
    <row r="96" spans="1:10" ht="15.75" customHeight="1">
      <c r="A96" s="1">
        <v>95</v>
      </c>
      <c r="B96" s="1" t="s">
        <v>228</v>
      </c>
      <c r="C96" s="1" t="s">
        <v>229</v>
      </c>
      <c r="D96" s="1" t="s">
        <v>238</v>
      </c>
      <c r="E96" s="1" t="s">
        <v>237</v>
      </c>
      <c r="F96" s="1" t="s">
        <v>230</v>
      </c>
      <c r="G96" s="1" t="s">
        <v>231</v>
      </c>
      <c r="H96" s="1" t="s">
        <v>234</v>
      </c>
      <c r="I96" s="1" t="s">
        <v>235</v>
      </c>
      <c r="J96" s="1" t="str">
        <f t="shared" si="0"/>
        <v>011011001111</v>
      </c>
    </row>
    <row r="97" spans="1:10" ht="15.75" customHeight="1">
      <c r="A97" s="1">
        <v>96</v>
      </c>
      <c r="B97" s="1" t="s">
        <v>228</v>
      </c>
      <c r="C97" s="1" t="s">
        <v>229</v>
      </c>
      <c r="D97" s="1" t="s">
        <v>238</v>
      </c>
      <c r="E97" s="1" t="s">
        <v>237</v>
      </c>
      <c r="F97" s="1" t="s">
        <v>232</v>
      </c>
      <c r="G97" s="1" t="s">
        <v>231</v>
      </c>
      <c r="H97" s="1" t="s">
        <v>234</v>
      </c>
      <c r="I97" s="1" t="s">
        <v>235</v>
      </c>
      <c r="J97" s="1" t="str">
        <f t="shared" si="0"/>
        <v>011011010111</v>
      </c>
    </row>
    <row r="98" spans="1:10" ht="15.75" customHeight="1">
      <c r="A98" s="1">
        <v>97</v>
      </c>
      <c r="B98" s="1" t="s">
        <v>228</v>
      </c>
      <c r="C98" s="1" t="s">
        <v>230</v>
      </c>
      <c r="D98" s="1" t="s">
        <v>238</v>
      </c>
      <c r="E98" s="1" t="s">
        <v>237</v>
      </c>
      <c r="F98" s="1" t="s">
        <v>232</v>
      </c>
      <c r="G98" s="1" t="s">
        <v>231</v>
      </c>
      <c r="H98" s="1" t="s">
        <v>234</v>
      </c>
      <c r="I98" s="1" t="s">
        <v>235</v>
      </c>
      <c r="J98" s="1" t="str">
        <f t="shared" si="0"/>
        <v>011011011011</v>
      </c>
    </row>
    <row r="99" spans="1:10" ht="15.75" customHeight="1">
      <c r="A99" s="1">
        <v>98</v>
      </c>
      <c r="B99" s="1" t="s">
        <v>228</v>
      </c>
      <c r="C99" s="1" t="s">
        <v>229</v>
      </c>
      <c r="D99" s="1" t="s">
        <v>238</v>
      </c>
      <c r="E99" s="1" t="s">
        <v>237</v>
      </c>
      <c r="F99" s="1" t="s">
        <v>232</v>
      </c>
      <c r="G99" s="1" t="s">
        <v>231</v>
      </c>
      <c r="H99" s="1" t="s">
        <v>234</v>
      </c>
      <c r="I99" s="1" t="s">
        <v>230</v>
      </c>
      <c r="J99" s="1" t="str">
        <f t="shared" si="0"/>
        <v>011011011101</v>
      </c>
    </row>
    <row r="100" spans="1:10" ht="15.75" customHeight="1">
      <c r="A100" s="1">
        <v>99</v>
      </c>
      <c r="B100" s="1" t="s">
        <v>228</v>
      </c>
      <c r="C100" s="1" t="s">
        <v>229</v>
      </c>
      <c r="D100" s="1" t="s">
        <v>238</v>
      </c>
      <c r="E100" s="1" t="s">
        <v>237</v>
      </c>
      <c r="F100" s="1" t="s">
        <v>232</v>
      </c>
      <c r="G100" s="1" t="s">
        <v>231</v>
      </c>
      <c r="H100" s="1" t="s">
        <v>230</v>
      </c>
      <c r="I100" s="1" t="s">
        <v>235</v>
      </c>
      <c r="J100" s="1" t="str">
        <f t="shared" si="0"/>
        <v>011011011110</v>
      </c>
    </row>
    <row r="101" spans="1:10" ht="15.75" customHeight="1">
      <c r="A101" s="1">
        <v>100</v>
      </c>
      <c r="B101" s="1" t="s">
        <v>228</v>
      </c>
      <c r="C101" s="1" t="s">
        <v>233</v>
      </c>
      <c r="D101" s="1" t="s">
        <v>238</v>
      </c>
      <c r="E101" s="1" t="s">
        <v>237</v>
      </c>
      <c r="F101" s="1" t="s">
        <v>229</v>
      </c>
      <c r="G101" s="1" t="s">
        <v>231</v>
      </c>
      <c r="H101" s="1" t="s">
        <v>234</v>
      </c>
      <c r="I101" s="1" t="s">
        <v>235</v>
      </c>
      <c r="J101" s="1" t="str">
        <f t="shared" si="0"/>
        <v>011011100111</v>
      </c>
    </row>
    <row r="102" spans="1:10" ht="15.75" customHeight="1">
      <c r="A102" s="1">
        <v>101</v>
      </c>
      <c r="B102" s="1" t="s">
        <v>228</v>
      </c>
      <c r="C102" s="1" t="s">
        <v>233</v>
      </c>
      <c r="D102" s="1" t="s">
        <v>238</v>
      </c>
      <c r="E102" s="1" t="s">
        <v>237</v>
      </c>
      <c r="F102" s="1" t="s">
        <v>230</v>
      </c>
      <c r="G102" s="1" t="s">
        <v>231</v>
      </c>
      <c r="H102" s="1" t="s">
        <v>234</v>
      </c>
      <c r="I102" s="1" t="s">
        <v>235</v>
      </c>
      <c r="J102" s="1" t="str">
        <f t="shared" si="0"/>
        <v>011011101011</v>
      </c>
    </row>
    <row r="103" spans="1:10" ht="15.75" customHeight="1">
      <c r="A103" s="1">
        <v>102</v>
      </c>
      <c r="B103" s="1" t="s">
        <v>228</v>
      </c>
      <c r="C103" s="1" t="s">
        <v>233</v>
      </c>
      <c r="D103" s="1" t="s">
        <v>238</v>
      </c>
      <c r="E103" s="1" t="s">
        <v>237</v>
      </c>
      <c r="F103" s="1" t="s">
        <v>229</v>
      </c>
      <c r="G103" s="1" t="s">
        <v>231</v>
      </c>
      <c r="H103" s="1" t="s">
        <v>234</v>
      </c>
      <c r="I103" s="1" t="s">
        <v>230</v>
      </c>
      <c r="J103" s="1" t="str">
        <f t="shared" si="0"/>
        <v>011011101101</v>
      </c>
    </row>
    <row r="104" spans="1:10" ht="15.75" customHeight="1">
      <c r="A104" s="1">
        <v>103</v>
      </c>
      <c r="B104" s="1" t="s">
        <v>228</v>
      </c>
      <c r="C104" s="1" t="s">
        <v>233</v>
      </c>
      <c r="D104" s="1" t="s">
        <v>238</v>
      </c>
      <c r="E104" s="1" t="s">
        <v>237</v>
      </c>
      <c r="F104" s="1" t="s">
        <v>229</v>
      </c>
      <c r="G104" s="1" t="s">
        <v>231</v>
      </c>
      <c r="H104" s="1" t="s">
        <v>230</v>
      </c>
      <c r="I104" s="1" t="s">
        <v>235</v>
      </c>
      <c r="J104" s="1" t="str">
        <f t="shared" si="0"/>
        <v>011011101110</v>
      </c>
    </row>
    <row r="105" spans="1:10" ht="15.75" customHeight="1">
      <c r="A105" s="1">
        <v>104</v>
      </c>
      <c r="B105" s="1" t="s">
        <v>228</v>
      </c>
      <c r="C105" s="1" t="s">
        <v>233</v>
      </c>
      <c r="D105" s="1" t="s">
        <v>238</v>
      </c>
      <c r="E105" s="1" t="s">
        <v>237</v>
      </c>
      <c r="F105" s="1" t="s">
        <v>232</v>
      </c>
      <c r="G105" s="1" t="s">
        <v>231</v>
      </c>
      <c r="H105" s="1" t="s">
        <v>234</v>
      </c>
      <c r="I105" s="1" t="s">
        <v>235</v>
      </c>
      <c r="J105" s="1" t="str">
        <f t="shared" si="0"/>
        <v>011011110011</v>
      </c>
    </row>
    <row r="106" spans="1:10" ht="15.75" customHeight="1">
      <c r="A106" s="1">
        <v>105</v>
      </c>
      <c r="B106" s="1" t="s">
        <v>232</v>
      </c>
      <c r="C106" s="1" t="s">
        <v>233</v>
      </c>
      <c r="D106" s="1" t="s">
        <v>238</v>
      </c>
      <c r="E106" s="1" t="s">
        <v>237</v>
      </c>
      <c r="F106" s="1" t="s">
        <v>229</v>
      </c>
      <c r="G106" s="1" t="s">
        <v>231</v>
      </c>
      <c r="H106" s="1" t="s">
        <v>234</v>
      </c>
      <c r="I106" s="1" t="s">
        <v>228</v>
      </c>
      <c r="J106" s="1" t="str">
        <f t="shared" si="0"/>
        <v>011011110101</v>
      </c>
    </row>
    <row r="107" spans="1:10" ht="15.75" customHeight="1">
      <c r="A107" s="1">
        <v>106</v>
      </c>
      <c r="B107" s="1" t="s">
        <v>232</v>
      </c>
      <c r="C107" s="1" t="s">
        <v>233</v>
      </c>
      <c r="D107" s="1" t="s">
        <v>238</v>
      </c>
      <c r="E107" s="1" t="s">
        <v>237</v>
      </c>
      <c r="F107" s="1" t="s">
        <v>229</v>
      </c>
      <c r="G107" s="1" t="s">
        <v>231</v>
      </c>
      <c r="H107" s="1" t="s">
        <v>228</v>
      </c>
      <c r="I107" s="1" t="s">
        <v>235</v>
      </c>
      <c r="J107" s="1" t="str">
        <f t="shared" si="0"/>
        <v>011011110110</v>
      </c>
    </row>
    <row r="108" spans="1:10" ht="15.75" customHeight="1">
      <c r="A108" s="1">
        <v>107</v>
      </c>
      <c r="B108" s="1" t="s">
        <v>228</v>
      </c>
      <c r="C108" s="1" t="s">
        <v>233</v>
      </c>
      <c r="D108" s="1" t="s">
        <v>238</v>
      </c>
      <c r="E108" s="1" t="s">
        <v>237</v>
      </c>
      <c r="F108" s="1" t="s">
        <v>232</v>
      </c>
      <c r="G108" s="1" t="s">
        <v>231</v>
      </c>
      <c r="H108" s="1" t="s">
        <v>234</v>
      </c>
      <c r="I108" s="1" t="s">
        <v>230</v>
      </c>
      <c r="J108" s="1" t="str">
        <f t="shared" si="0"/>
        <v>011011111001</v>
      </c>
    </row>
    <row r="109" spans="1:10" ht="15.75" customHeight="1">
      <c r="A109" s="1">
        <v>108</v>
      </c>
      <c r="B109" s="1" t="s">
        <v>228</v>
      </c>
      <c r="C109" s="1" t="s">
        <v>233</v>
      </c>
      <c r="D109" s="1" t="s">
        <v>238</v>
      </c>
      <c r="E109" s="1" t="s">
        <v>237</v>
      </c>
      <c r="F109" s="1" t="s">
        <v>232</v>
      </c>
      <c r="G109" s="1" t="s">
        <v>231</v>
      </c>
      <c r="H109" s="1" t="s">
        <v>230</v>
      </c>
      <c r="I109" s="1" t="s">
        <v>235</v>
      </c>
      <c r="J109" s="1" t="str">
        <f t="shared" si="0"/>
        <v>011011111010</v>
      </c>
    </row>
    <row r="110" spans="1:10" ht="15.75" customHeight="1">
      <c r="A110" s="1">
        <v>109</v>
      </c>
      <c r="B110" s="1" t="s">
        <v>232</v>
      </c>
      <c r="C110" s="1" t="s">
        <v>233</v>
      </c>
      <c r="D110" s="1" t="s">
        <v>238</v>
      </c>
      <c r="E110" s="1" t="s">
        <v>237</v>
      </c>
      <c r="F110" s="1" t="s">
        <v>229</v>
      </c>
      <c r="G110" s="1" t="s">
        <v>231</v>
      </c>
      <c r="H110" s="1" t="s">
        <v>228</v>
      </c>
      <c r="I110" s="1" t="s">
        <v>230</v>
      </c>
      <c r="J110" s="1" t="str">
        <f t="shared" si="0"/>
        <v>011011111100</v>
      </c>
    </row>
    <row r="111" spans="1:10" ht="15.75" customHeight="1">
      <c r="A111" s="1">
        <v>110</v>
      </c>
      <c r="B111" s="1" t="s">
        <v>232</v>
      </c>
      <c r="C111" s="1" t="s">
        <v>229</v>
      </c>
      <c r="D111" s="1" t="s">
        <v>238</v>
      </c>
      <c r="E111" s="1" t="s">
        <v>237</v>
      </c>
      <c r="F111" s="1" t="s">
        <v>230</v>
      </c>
      <c r="G111" s="1" t="s">
        <v>236</v>
      </c>
      <c r="H111" s="1" t="s">
        <v>234</v>
      </c>
      <c r="I111" s="1" t="s">
        <v>235</v>
      </c>
      <c r="J111" s="1" t="str">
        <f t="shared" si="0"/>
        <v>011100011111</v>
      </c>
    </row>
    <row r="112" spans="1:10" ht="15.75" customHeight="1">
      <c r="A112" s="1">
        <v>111</v>
      </c>
      <c r="B112" s="1" t="s">
        <v>230</v>
      </c>
      <c r="C112" s="1" t="s">
        <v>233</v>
      </c>
      <c r="D112" s="1" t="s">
        <v>238</v>
      </c>
      <c r="E112" s="1" t="s">
        <v>237</v>
      </c>
      <c r="F112" s="1" t="s">
        <v>229</v>
      </c>
      <c r="G112" s="1" t="s">
        <v>236</v>
      </c>
      <c r="H112" s="1" t="s">
        <v>234</v>
      </c>
      <c r="I112" s="1" t="s">
        <v>235</v>
      </c>
      <c r="J112" s="1" t="str">
        <f t="shared" si="0"/>
        <v>011100101111</v>
      </c>
    </row>
    <row r="113" spans="1:10" ht="15.75" customHeight="1">
      <c r="A113" s="1">
        <v>112</v>
      </c>
      <c r="B113" s="1" t="s">
        <v>232</v>
      </c>
      <c r="C113" s="1" t="s">
        <v>233</v>
      </c>
      <c r="D113" s="1" t="s">
        <v>238</v>
      </c>
      <c r="E113" s="1" t="s">
        <v>237</v>
      </c>
      <c r="F113" s="1" t="s">
        <v>229</v>
      </c>
      <c r="G113" s="1" t="s">
        <v>236</v>
      </c>
      <c r="H113" s="1" t="s">
        <v>234</v>
      </c>
      <c r="I113" s="1" t="s">
        <v>235</v>
      </c>
      <c r="J113" s="1" t="str">
        <f t="shared" si="0"/>
        <v>011100110111</v>
      </c>
    </row>
    <row r="114" spans="1:10" ht="15.75" customHeight="1">
      <c r="A114" s="1">
        <v>113</v>
      </c>
      <c r="B114" s="1" t="s">
        <v>232</v>
      </c>
      <c r="C114" s="1" t="s">
        <v>233</v>
      </c>
      <c r="D114" s="1" t="s">
        <v>238</v>
      </c>
      <c r="E114" s="1" t="s">
        <v>237</v>
      </c>
      <c r="F114" s="1" t="s">
        <v>230</v>
      </c>
      <c r="G114" s="1" t="s">
        <v>236</v>
      </c>
      <c r="H114" s="1" t="s">
        <v>234</v>
      </c>
      <c r="I114" s="1" t="s">
        <v>235</v>
      </c>
      <c r="J114" s="1" t="str">
        <f t="shared" si="0"/>
        <v>011100111011</v>
      </c>
    </row>
    <row r="115" spans="1:10" ht="15.75" customHeight="1">
      <c r="A115" s="1">
        <v>114</v>
      </c>
      <c r="B115" s="1" t="s">
        <v>232</v>
      </c>
      <c r="C115" s="1" t="s">
        <v>233</v>
      </c>
      <c r="D115" s="1" t="s">
        <v>238</v>
      </c>
      <c r="E115" s="1" t="s">
        <v>237</v>
      </c>
      <c r="F115" s="1" t="s">
        <v>229</v>
      </c>
      <c r="G115" s="1" t="s">
        <v>236</v>
      </c>
      <c r="H115" s="1" t="s">
        <v>234</v>
      </c>
      <c r="I115" s="1" t="s">
        <v>230</v>
      </c>
      <c r="J115" s="1" t="str">
        <f t="shared" si="0"/>
        <v>011100111101</v>
      </c>
    </row>
    <row r="116" spans="1:10" ht="15.75" customHeight="1">
      <c r="A116" s="1">
        <v>115</v>
      </c>
      <c r="B116" s="1" t="s">
        <v>232</v>
      </c>
      <c r="C116" s="1" t="s">
        <v>233</v>
      </c>
      <c r="D116" s="1" t="s">
        <v>238</v>
      </c>
      <c r="E116" s="1" t="s">
        <v>237</v>
      </c>
      <c r="F116" s="1" t="s">
        <v>229</v>
      </c>
      <c r="G116" s="1" t="s">
        <v>236</v>
      </c>
      <c r="H116" s="1" t="s">
        <v>230</v>
      </c>
      <c r="I116" s="1" t="s">
        <v>235</v>
      </c>
      <c r="J116" s="1" t="str">
        <f t="shared" si="0"/>
        <v>011100111110</v>
      </c>
    </row>
    <row r="117" spans="1:10" ht="15.75" customHeight="1">
      <c r="A117" s="1">
        <v>116</v>
      </c>
      <c r="B117" s="1" t="s">
        <v>237</v>
      </c>
      <c r="C117" s="1" t="s">
        <v>229</v>
      </c>
      <c r="D117" s="1" t="s">
        <v>238</v>
      </c>
      <c r="E117" s="1" t="s">
        <v>236</v>
      </c>
      <c r="F117" s="1" t="s">
        <v>230</v>
      </c>
      <c r="G117" s="1" t="s">
        <v>231</v>
      </c>
      <c r="H117" s="1" t="s">
        <v>234</v>
      </c>
      <c r="I117" s="1" t="s">
        <v>235</v>
      </c>
      <c r="J117" s="1" t="str">
        <f t="shared" si="0"/>
        <v>011101001111</v>
      </c>
    </row>
    <row r="118" spans="1:10" ht="15.75" customHeight="1">
      <c r="A118" s="1">
        <v>117</v>
      </c>
      <c r="B118" s="1" t="s">
        <v>237</v>
      </c>
      <c r="C118" s="1" t="s">
        <v>229</v>
      </c>
      <c r="D118" s="1" t="s">
        <v>238</v>
      </c>
      <c r="E118" s="1" t="s">
        <v>236</v>
      </c>
      <c r="F118" s="1" t="s">
        <v>232</v>
      </c>
      <c r="G118" s="1" t="s">
        <v>231</v>
      </c>
      <c r="H118" s="1" t="s">
        <v>234</v>
      </c>
      <c r="I118" s="1" t="s">
        <v>235</v>
      </c>
      <c r="J118" s="1" t="str">
        <f t="shared" si="0"/>
        <v>011101010111</v>
      </c>
    </row>
    <row r="119" spans="1:10" ht="15.75" customHeight="1">
      <c r="A119" s="1">
        <v>118</v>
      </c>
      <c r="B119" s="1" t="s">
        <v>237</v>
      </c>
      <c r="C119" s="1" t="s">
        <v>230</v>
      </c>
      <c r="D119" s="1" t="s">
        <v>238</v>
      </c>
      <c r="E119" s="1" t="s">
        <v>236</v>
      </c>
      <c r="F119" s="1" t="s">
        <v>232</v>
      </c>
      <c r="G119" s="1" t="s">
        <v>231</v>
      </c>
      <c r="H119" s="1" t="s">
        <v>234</v>
      </c>
      <c r="I119" s="1" t="s">
        <v>235</v>
      </c>
      <c r="J119" s="1" t="str">
        <f t="shared" si="0"/>
        <v>011101011011</v>
      </c>
    </row>
    <row r="120" spans="1:10" ht="15.75" customHeight="1">
      <c r="A120" s="1">
        <v>119</v>
      </c>
      <c r="B120" s="1" t="s">
        <v>237</v>
      </c>
      <c r="C120" s="1" t="s">
        <v>229</v>
      </c>
      <c r="D120" s="1" t="s">
        <v>238</v>
      </c>
      <c r="E120" s="1" t="s">
        <v>236</v>
      </c>
      <c r="F120" s="1" t="s">
        <v>232</v>
      </c>
      <c r="G120" s="1" t="s">
        <v>231</v>
      </c>
      <c r="H120" s="1" t="s">
        <v>234</v>
      </c>
      <c r="I120" s="1" t="s">
        <v>230</v>
      </c>
      <c r="J120" s="1" t="str">
        <f t="shared" si="0"/>
        <v>011101011101</v>
      </c>
    </row>
    <row r="121" spans="1:10" ht="15.75" customHeight="1">
      <c r="A121" s="1">
        <v>120</v>
      </c>
      <c r="B121" s="1" t="s">
        <v>237</v>
      </c>
      <c r="C121" s="1" t="s">
        <v>229</v>
      </c>
      <c r="D121" s="1" t="s">
        <v>238</v>
      </c>
      <c r="E121" s="1" t="s">
        <v>236</v>
      </c>
      <c r="F121" s="1" t="s">
        <v>232</v>
      </c>
      <c r="G121" s="1" t="s">
        <v>231</v>
      </c>
      <c r="H121" s="1" t="s">
        <v>230</v>
      </c>
      <c r="I121" s="1" t="s">
        <v>235</v>
      </c>
      <c r="J121" s="1" t="str">
        <f t="shared" si="0"/>
        <v>011101011110</v>
      </c>
    </row>
    <row r="122" spans="1:10" ht="15.75" customHeight="1">
      <c r="A122" s="1">
        <v>121</v>
      </c>
      <c r="B122" s="1" t="s">
        <v>237</v>
      </c>
      <c r="C122" s="1" t="s">
        <v>233</v>
      </c>
      <c r="D122" s="1" t="s">
        <v>238</v>
      </c>
      <c r="E122" s="1" t="s">
        <v>236</v>
      </c>
      <c r="F122" s="1" t="s">
        <v>229</v>
      </c>
      <c r="G122" s="1" t="s">
        <v>231</v>
      </c>
      <c r="H122" s="1" t="s">
        <v>234</v>
      </c>
      <c r="I122" s="1" t="s">
        <v>235</v>
      </c>
      <c r="J122" s="1" t="str">
        <f t="shared" si="0"/>
        <v>011101100111</v>
      </c>
    </row>
    <row r="123" spans="1:10" ht="15.75" customHeight="1">
      <c r="A123" s="1">
        <v>122</v>
      </c>
      <c r="B123" s="1" t="s">
        <v>237</v>
      </c>
      <c r="C123" s="1" t="s">
        <v>233</v>
      </c>
      <c r="D123" s="1" t="s">
        <v>238</v>
      </c>
      <c r="E123" s="1" t="s">
        <v>236</v>
      </c>
      <c r="F123" s="1" t="s">
        <v>230</v>
      </c>
      <c r="G123" s="1" t="s">
        <v>231</v>
      </c>
      <c r="H123" s="1" t="s">
        <v>234</v>
      </c>
      <c r="I123" s="1" t="s">
        <v>235</v>
      </c>
      <c r="J123" s="1" t="str">
        <f t="shared" si="0"/>
        <v>011101101011</v>
      </c>
    </row>
    <row r="124" spans="1:10" ht="15.75" customHeight="1">
      <c r="A124" s="1">
        <v>123</v>
      </c>
      <c r="B124" s="1" t="s">
        <v>237</v>
      </c>
      <c r="C124" s="1" t="s">
        <v>233</v>
      </c>
      <c r="D124" s="1" t="s">
        <v>238</v>
      </c>
      <c r="E124" s="1" t="s">
        <v>236</v>
      </c>
      <c r="F124" s="1" t="s">
        <v>229</v>
      </c>
      <c r="G124" s="1" t="s">
        <v>231</v>
      </c>
      <c r="H124" s="1" t="s">
        <v>234</v>
      </c>
      <c r="I124" s="1" t="s">
        <v>230</v>
      </c>
      <c r="J124" s="1" t="str">
        <f t="shared" si="0"/>
        <v>011101101101</v>
      </c>
    </row>
    <row r="125" spans="1:10" ht="15.75" customHeight="1">
      <c r="A125" s="1">
        <v>124</v>
      </c>
      <c r="B125" s="1" t="s">
        <v>237</v>
      </c>
      <c r="C125" s="1" t="s">
        <v>233</v>
      </c>
      <c r="D125" s="1" t="s">
        <v>238</v>
      </c>
      <c r="E125" s="1" t="s">
        <v>236</v>
      </c>
      <c r="F125" s="1" t="s">
        <v>229</v>
      </c>
      <c r="G125" s="1" t="s">
        <v>231</v>
      </c>
      <c r="H125" s="1" t="s">
        <v>230</v>
      </c>
      <c r="I125" s="1" t="s">
        <v>235</v>
      </c>
      <c r="J125" s="1" t="str">
        <f t="shared" si="0"/>
        <v>011101101110</v>
      </c>
    </row>
    <row r="126" spans="1:10" ht="15.75" customHeight="1">
      <c r="A126" s="1">
        <v>125</v>
      </c>
      <c r="B126" s="1" t="s">
        <v>237</v>
      </c>
      <c r="C126" s="1" t="s">
        <v>233</v>
      </c>
      <c r="D126" s="1" t="s">
        <v>238</v>
      </c>
      <c r="E126" s="1" t="s">
        <v>236</v>
      </c>
      <c r="F126" s="1" t="s">
        <v>232</v>
      </c>
      <c r="G126" s="1" t="s">
        <v>231</v>
      </c>
      <c r="H126" s="1" t="s">
        <v>234</v>
      </c>
      <c r="I126" s="1" t="s">
        <v>235</v>
      </c>
      <c r="J126" s="1" t="str">
        <f t="shared" si="0"/>
        <v>011101110011</v>
      </c>
    </row>
    <row r="127" spans="1:10" ht="15.75" customHeight="1">
      <c r="A127" s="1">
        <v>126</v>
      </c>
      <c r="B127" s="1" t="s">
        <v>237</v>
      </c>
      <c r="C127" s="1" t="s">
        <v>233</v>
      </c>
      <c r="D127" s="1" t="s">
        <v>238</v>
      </c>
      <c r="E127" s="1" t="s">
        <v>236</v>
      </c>
      <c r="F127" s="1" t="s">
        <v>232</v>
      </c>
      <c r="G127" s="1" t="s">
        <v>231</v>
      </c>
      <c r="H127" s="1" t="s">
        <v>234</v>
      </c>
      <c r="I127" s="1" t="s">
        <v>229</v>
      </c>
      <c r="J127" s="1" t="str">
        <f t="shared" si="0"/>
        <v>011101110101</v>
      </c>
    </row>
    <row r="128" spans="1:10" ht="15.75" customHeight="1">
      <c r="A128" s="1">
        <v>127</v>
      </c>
      <c r="B128" s="1" t="s">
        <v>232</v>
      </c>
      <c r="C128" s="1" t="s">
        <v>233</v>
      </c>
      <c r="D128" s="1" t="s">
        <v>238</v>
      </c>
      <c r="E128" s="1" t="s">
        <v>237</v>
      </c>
      <c r="F128" s="1" t="s">
        <v>229</v>
      </c>
      <c r="G128" s="1" t="s">
        <v>231</v>
      </c>
      <c r="H128" s="1" t="s">
        <v>236</v>
      </c>
      <c r="I128" s="1" t="s">
        <v>235</v>
      </c>
      <c r="J128" s="1" t="str">
        <f t="shared" si="0"/>
        <v>011101110110</v>
      </c>
    </row>
    <row r="129" spans="1:10" ht="15.75" customHeight="1">
      <c r="A129" s="1">
        <v>128</v>
      </c>
      <c r="B129" s="1" t="s">
        <v>237</v>
      </c>
      <c r="C129" s="1" t="s">
        <v>233</v>
      </c>
      <c r="D129" s="1" t="s">
        <v>238</v>
      </c>
      <c r="E129" s="1" t="s">
        <v>236</v>
      </c>
      <c r="F129" s="1" t="s">
        <v>232</v>
      </c>
      <c r="G129" s="1" t="s">
        <v>231</v>
      </c>
      <c r="H129" s="1" t="s">
        <v>234</v>
      </c>
      <c r="I129" s="1" t="s">
        <v>230</v>
      </c>
      <c r="J129" s="1" t="str">
        <f t="shared" si="0"/>
        <v>011101111001</v>
      </c>
    </row>
    <row r="130" spans="1:10" ht="15.75" customHeight="1">
      <c r="A130" s="1">
        <v>129</v>
      </c>
      <c r="B130" s="1" t="s">
        <v>237</v>
      </c>
      <c r="C130" s="1" t="s">
        <v>233</v>
      </c>
      <c r="D130" s="1" t="s">
        <v>238</v>
      </c>
      <c r="E130" s="1" t="s">
        <v>236</v>
      </c>
      <c r="F130" s="1" t="s">
        <v>232</v>
      </c>
      <c r="G130" s="1" t="s">
        <v>231</v>
      </c>
      <c r="H130" s="1" t="s">
        <v>230</v>
      </c>
      <c r="I130" s="1" t="s">
        <v>235</v>
      </c>
      <c r="J130" s="1" t="str">
        <f t="shared" si="0"/>
        <v>011101111010</v>
      </c>
    </row>
    <row r="131" spans="1:10" ht="15.75" customHeight="1">
      <c r="A131" s="1">
        <v>130</v>
      </c>
      <c r="B131" s="1" t="s">
        <v>232</v>
      </c>
      <c r="C131" s="1" t="s">
        <v>233</v>
      </c>
      <c r="D131" s="1" t="s">
        <v>238</v>
      </c>
      <c r="E131" s="1" t="s">
        <v>237</v>
      </c>
      <c r="F131" s="1" t="s">
        <v>229</v>
      </c>
      <c r="G131" s="1" t="s">
        <v>231</v>
      </c>
      <c r="H131" s="1" t="s">
        <v>236</v>
      </c>
      <c r="I131" s="1" t="s">
        <v>230</v>
      </c>
      <c r="J131" s="1" t="str">
        <f t="shared" si="0"/>
        <v>011101111100</v>
      </c>
    </row>
    <row r="132" spans="1:10" ht="15.75" customHeight="1">
      <c r="A132" s="1">
        <v>131</v>
      </c>
      <c r="B132" s="1" t="s">
        <v>228</v>
      </c>
      <c r="C132" s="1" t="s">
        <v>229</v>
      </c>
      <c r="D132" s="1" t="s">
        <v>238</v>
      </c>
      <c r="E132" s="1" t="s">
        <v>237</v>
      </c>
      <c r="F132" s="1" t="s">
        <v>230</v>
      </c>
      <c r="G132" s="1" t="s">
        <v>236</v>
      </c>
      <c r="H132" s="1" t="s">
        <v>234</v>
      </c>
      <c r="I132" s="1" t="s">
        <v>235</v>
      </c>
      <c r="J132" s="1" t="str">
        <f t="shared" si="0"/>
        <v>011110001111</v>
      </c>
    </row>
    <row r="133" spans="1:10" ht="15.75" customHeight="1">
      <c r="A133" s="1">
        <v>132</v>
      </c>
      <c r="B133" s="1" t="s">
        <v>228</v>
      </c>
      <c r="C133" s="1" t="s">
        <v>229</v>
      </c>
      <c r="D133" s="1" t="s">
        <v>238</v>
      </c>
      <c r="E133" s="1" t="s">
        <v>237</v>
      </c>
      <c r="F133" s="1" t="s">
        <v>232</v>
      </c>
      <c r="G133" s="1" t="s">
        <v>236</v>
      </c>
      <c r="H133" s="1" t="s">
        <v>234</v>
      </c>
      <c r="I133" s="1" t="s">
        <v>235</v>
      </c>
      <c r="J133" s="1" t="str">
        <f t="shared" si="0"/>
        <v>011110010111</v>
      </c>
    </row>
    <row r="134" spans="1:10" ht="15.75" customHeight="1">
      <c r="A134" s="1">
        <v>133</v>
      </c>
      <c r="B134" s="1" t="s">
        <v>228</v>
      </c>
      <c r="C134" s="1" t="s">
        <v>230</v>
      </c>
      <c r="D134" s="1" t="s">
        <v>238</v>
      </c>
      <c r="E134" s="1" t="s">
        <v>237</v>
      </c>
      <c r="F134" s="1" t="s">
        <v>232</v>
      </c>
      <c r="G134" s="1" t="s">
        <v>236</v>
      </c>
      <c r="H134" s="1" t="s">
        <v>234</v>
      </c>
      <c r="I134" s="1" t="s">
        <v>235</v>
      </c>
      <c r="J134" s="1" t="str">
        <f t="shared" si="0"/>
        <v>011110011011</v>
      </c>
    </row>
    <row r="135" spans="1:10" ht="15.75" customHeight="1">
      <c r="A135" s="1">
        <v>134</v>
      </c>
      <c r="B135" s="1" t="s">
        <v>228</v>
      </c>
      <c r="C135" s="1" t="s">
        <v>229</v>
      </c>
      <c r="D135" s="1" t="s">
        <v>238</v>
      </c>
      <c r="E135" s="1" t="s">
        <v>237</v>
      </c>
      <c r="F135" s="1" t="s">
        <v>232</v>
      </c>
      <c r="G135" s="1" t="s">
        <v>236</v>
      </c>
      <c r="H135" s="1" t="s">
        <v>234</v>
      </c>
      <c r="I135" s="1" t="s">
        <v>230</v>
      </c>
      <c r="J135" s="1" t="str">
        <f t="shared" si="0"/>
        <v>011110011101</v>
      </c>
    </row>
    <row r="136" spans="1:10" ht="15.75" customHeight="1">
      <c r="A136" s="1">
        <v>135</v>
      </c>
      <c r="B136" s="1" t="s">
        <v>228</v>
      </c>
      <c r="C136" s="1" t="s">
        <v>229</v>
      </c>
      <c r="D136" s="1" t="s">
        <v>238</v>
      </c>
      <c r="E136" s="1" t="s">
        <v>237</v>
      </c>
      <c r="F136" s="1" t="s">
        <v>232</v>
      </c>
      <c r="G136" s="1" t="s">
        <v>236</v>
      </c>
      <c r="H136" s="1" t="s">
        <v>230</v>
      </c>
      <c r="I136" s="1" t="s">
        <v>235</v>
      </c>
      <c r="J136" s="1" t="str">
        <f t="shared" si="0"/>
        <v>011110011110</v>
      </c>
    </row>
    <row r="137" spans="1:10" ht="15.75" customHeight="1">
      <c r="A137" s="1">
        <v>136</v>
      </c>
      <c r="B137" s="1" t="s">
        <v>228</v>
      </c>
      <c r="C137" s="1" t="s">
        <v>233</v>
      </c>
      <c r="D137" s="1" t="s">
        <v>238</v>
      </c>
      <c r="E137" s="1" t="s">
        <v>237</v>
      </c>
      <c r="F137" s="1" t="s">
        <v>229</v>
      </c>
      <c r="G137" s="1" t="s">
        <v>236</v>
      </c>
      <c r="H137" s="1" t="s">
        <v>234</v>
      </c>
      <c r="I137" s="1" t="s">
        <v>235</v>
      </c>
      <c r="J137" s="1" t="str">
        <f t="shared" si="0"/>
        <v>011110100111</v>
      </c>
    </row>
    <row r="138" spans="1:10" ht="15.75" customHeight="1">
      <c r="A138" s="1">
        <v>137</v>
      </c>
      <c r="B138" s="1" t="s">
        <v>228</v>
      </c>
      <c r="C138" s="1" t="s">
        <v>233</v>
      </c>
      <c r="D138" s="1" t="s">
        <v>238</v>
      </c>
      <c r="E138" s="1" t="s">
        <v>237</v>
      </c>
      <c r="F138" s="1" t="s">
        <v>230</v>
      </c>
      <c r="G138" s="1" t="s">
        <v>236</v>
      </c>
      <c r="H138" s="1" t="s">
        <v>234</v>
      </c>
      <c r="I138" s="1" t="s">
        <v>235</v>
      </c>
      <c r="J138" s="1" t="str">
        <f t="shared" si="0"/>
        <v>011110101011</v>
      </c>
    </row>
    <row r="139" spans="1:10" ht="15.75" customHeight="1">
      <c r="A139" s="1">
        <v>138</v>
      </c>
      <c r="B139" s="1" t="s">
        <v>228</v>
      </c>
      <c r="C139" s="1" t="s">
        <v>233</v>
      </c>
      <c r="D139" s="1" t="s">
        <v>238</v>
      </c>
      <c r="E139" s="1" t="s">
        <v>237</v>
      </c>
      <c r="F139" s="1" t="s">
        <v>229</v>
      </c>
      <c r="G139" s="1" t="s">
        <v>236</v>
      </c>
      <c r="H139" s="1" t="s">
        <v>234</v>
      </c>
      <c r="I139" s="1" t="s">
        <v>230</v>
      </c>
      <c r="J139" s="1" t="str">
        <f t="shared" si="0"/>
        <v>011110101101</v>
      </c>
    </row>
    <row r="140" spans="1:10" ht="15.75" customHeight="1">
      <c r="A140" s="1">
        <v>139</v>
      </c>
      <c r="B140" s="1" t="s">
        <v>228</v>
      </c>
      <c r="C140" s="1" t="s">
        <v>233</v>
      </c>
      <c r="D140" s="1" t="s">
        <v>238</v>
      </c>
      <c r="E140" s="1" t="s">
        <v>237</v>
      </c>
      <c r="F140" s="1" t="s">
        <v>229</v>
      </c>
      <c r="G140" s="1" t="s">
        <v>236</v>
      </c>
      <c r="H140" s="1" t="s">
        <v>230</v>
      </c>
      <c r="I140" s="1" t="s">
        <v>235</v>
      </c>
      <c r="J140" s="1" t="str">
        <f t="shared" si="0"/>
        <v>011110101110</v>
      </c>
    </row>
    <row r="141" spans="1:10" ht="15.75" customHeight="1">
      <c r="A141" s="1">
        <v>140</v>
      </c>
      <c r="B141" s="1" t="s">
        <v>228</v>
      </c>
      <c r="C141" s="1" t="s">
        <v>233</v>
      </c>
      <c r="D141" s="1" t="s">
        <v>238</v>
      </c>
      <c r="E141" s="1" t="s">
        <v>237</v>
      </c>
      <c r="F141" s="1" t="s">
        <v>232</v>
      </c>
      <c r="G141" s="1" t="s">
        <v>236</v>
      </c>
      <c r="H141" s="1" t="s">
        <v>234</v>
      </c>
      <c r="I141" s="1" t="s">
        <v>235</v>
      </c>
      <c r="J141" s="1" t="str">
        <f t="shared" si="0"/>
        <v>011110110011</v>
      </c>
    </row>
    <row r="142" spans="1:10" ht="15.75" customHeight="1">
      <c r="A142" s="1">
        <v>141</v>
      </c>
      <c r="B142" s="1" t="s">
        <v>232</v>
      </c>
      <c r="C142" s="1" t="s">
        <v>233</v>
      </c>
      <c r="D142" s="1" t="s">
        <v>238</v>
      </c>
      <c r="E142" s="1" t="s">
        <v>237</v>
      </c>
      <c r="F142" s="1" t="s">
        <v>229</v>
      </c>
      <c r="G142" s="1" t="s">
        <v>236</v>
      </c>
      <c r="H142" s="1" t="s">
        <v>234</v>
      </c>
      <c r="I142" s="1" t="s">
        <v>228</v>
      </c>
      <c r="J142" s="1" t="str">
        <f t="shared" si="0"/>
        <v>011110110101</v>
      </c>
    </row>
    <row r="143" spans="1:10" ht="15.75" customHeight="1">
      <c r="A143" s="1">
        <v>142</v>
      </c>
      <c r="B143" s="1" t="s">
        <v>232</v>
      </c>
      <c r="C143" s="1" t="s">
        <v>233</v>
      </c>
      <c r="D143" s="1" t="s">
        <v>238</v>
      </c>
      <c r="E143" s="1" t="s">
        <v>237</v>
      </c>
      <c r="F143" s="1" t="s">
        <v>229</v>
      </c>
      <c r="G143" s="1" t="s">
        <v>236</v>
      </c>
      <c r="H143" s="1" t="s">
        <v>228</v>
      </c>
      <c r="I143" s="1" t="s">
        <v>235</v>
      </c>
      <c r="J143" s="1" t="str">
        <f t="shared" si="0"/>
        <v>011110110110</v>
      </c>
    </row>
    <row r="144" spans="1:10" ht="15.75" customHeight="1">
      <c r="A144" s="1">
        <v>143</v>
      </c>
      <c r="B144" s="1" t="s">
        <v>228</v>
      </c>
      <c r="C144" s="1" t="s">
        <v>233</v>
      </c>
      <c r="D144" s="1" t="s">
        <v>238</v>
      </c>
      <c r="E144" s="1" t="s">
        <v>237</v>
      </c>
      <c r="F144" s="1" t="s">
        <v>232</v>
      </c>
      <c r="G144" s="1" t="s">
        <v>236</v>
      </c>
      <c r="H144" s="1" t="s">
        <v>234</v>
      </c>
      <c r="I144" s="1" t="s">
        <v>230</v>
      </c>
      <c r="J144" s="1" t="str">
        <f t="shared" si="0"/>
        <v>011110111001</v>
      </c>
    </row>
    <row r="145" spans="1:10" ht="15.75" customHeight="1">
      <c r="A145" s="1">
        <v>144</v>
      </c>
      <c r="B145" s="1" t="s">
        <v>228</v>
      </c>
      <c r="C145" s="1" t="s">
        <v>233</v>
      </c>
      <c r="D145" s="1" t="s">
        <v>238</v>
      </c>
      <c r="E145" s="1" t="s">
        <v>237</v>
      </c>
      <c r="F145" s="1" t="s">
        <v>232</v>
      </c>
      <c r="G145" s="1" t="s">
        <v>236</v>
      </c>
      <c r="H145" s="1" t="s">
        <v>230</v>
      </c>
      <c r="I145" s="1" t="s">
        <v>235</v>
      </c>
      <c r="J145" s="1" t="str">
        <f t="shared" si="0"/>
        <v>011110111010</v>
      </c>
    </row>
    <row r="146" spans="1:10" ht="15.75" customHeight="1">
      <c r="A146" s="1">
        <v>145</v>
      </c>
      <c r="B146" s="1" t="s">
        <v>232</v>
      </c>
      <c r="C146" s="1" t="s">
        <v>233</v>
      </c>
      <c r="D146" s="1" t="s">
        <v>238</v>
      </c>
      <c r="E146" s="1" t="s">
        <v>237</v>
      </c>
      <c r="F146" s="1" t="s">
        <v>229</v>
      </c>
      <c r="G146" s="1" t="s">
        <v>236</v>
      </c>
      <c r="H146" s="1" t="s">
        <v>228</v>
      </c>
      <c r="I146" s="1" t="s">
        <v>230</v>
      </c>
      <c r="J146" s="1" t="str">
        <f t="shared" si="0"/>
        <v>011110111100</v>
      </c>
    </row>
    <row r="147" spans="1:10" ht="15.75" customHeight="1">
      <c r="A147" s="1">
        <v>146</v>
      </c>
      <c r="B147" s="1" t="s">
        <v>237</v>
      </c>
      <c r="C147" s="1" t="s">
        <v>229</v>
      </c>
      <c r="D147" s="1" t="s">
        <v>238</v>
      </c>
      <c r="E147" s="1" t="s">
        <v>236</v>
      </c>
      <c r="F147" s="1" t="s">
        <v>228</v>
      </c>
      <c r="G147" s="1" t="s">
        <v>231</v>
      </c>
      <c r="H147" s="1" t="s">
        <v>234</v>
      </c>
      <c r="I147" s="1" t="s">
        <v>235</v>
      </c>
      <c r="J147" s="1" t="str">
        <f t="shared" si="0"/>
        <v>011111000111</v>
      </c>
    </row>
    <row r="148" spans="1:10" ht="15.75" customHeight="1">
      <c r="A148" s="1">
        <v>147</v>
      </c>
      <c r="B148" s="1" t="s">
        <v>237</v>
      </c>
      <c r="C148" s="1" t="s">
        <v>228</v>
      </c>
      <c r="D148" s="1" t="s">
        <v>238</v>
      </c>
      <c r="E148" s="1" t="s">
        <v>236</v>
      </c>
      <c r="F148" s="1" t="s">
        <v>230</v>
      </c>
      <c r="G148" s="1" t="s">
        <v>231</v>
      </c>
      <c r="H148" s="1" t="s">
        <v>234</v>
      </c>
      <c r="I148" s="1" t="s">
        <v>235</v>
      </c>
      <c r="J148" s="1" t="str">
        <f t="shared" si="0"/>
        <v>011111001011</v>
      </c>
    </row>
    <row r="149" spans="1:10" ht="15.75" customHeight="1">
      <c r="A149" s="1">
        <v>148</v>
      </c>
      <c r="B149" s="1" t="s">
        <v>237</v>
      </c>
      <c r="C149" s="1" t="s">
        <v>229</v>
      </c>
      <c r="D149" s="1" t="s">
        <v>238</v>
      </c>
      <c r="E149" s="1" t="s">
        <v>236</v>
      </c>
      <c r="F149" s="1" t="s">
        <v>228</v>
      </c>
      <c r="G149" s="1" t="s">
        <v>231</v>
      </c>
      <c r="H149" s="1" t="s">
        <v>234</v>
      </c>
      <c r="I149" s="1" t="s">
        <v>230</v>
      </c>
      <c r="J149" s="1" t="str">
        <f t="shared" si="0"/>
        <v>011111001101</v>
      </c>
    </row>
    <row r="150" spans="1:10" ht="15.75" customHeight="1">
      <c r="A150" s="1">
        <v>149</v>
      </c>
      <c r="B150" s="1" t="s">
        <v>237</v>
      </c>
      <c r="C150" s="1" t="s">
        <v>229</v>
      </c>
      <c r="D150" s="1" t="s">
        <v>238</v>
      </c>
      <c r="E150" s="1" t="s">
        <v>236</v>
      </c>
      <c r="F150" s="1" t="s">
        <v>228</v>
      </c>
      <c r="G150" s="1" t="s">
        <v>231</v>
      </c>
      <c r="H150" s="1" t="s">
        <v>230</v>
      </c>
      <c r="I150" s="1" t="s">
        <v>235</v>
      </c>
      <c r="J150" s="1" t="str">
        <f t="shared" si="0"/>
        <v>011111001110</v>
      </c>
    </row>
    <row r="151" spans="1:10" ht="15.75" customHeight="1">
      <c r="A151" s="1">
        <v>150</v>
      </c>
      <c r="B151" s="1" t="s">
        <v>237</v>
      </c>
      <c r="C151" s="1" t="s">
        <v>228</v>
      </c>
      <c r="D151" s="1" t="s">
        <v>238</v>
      </c>
      <c r="E151" s="1" t="s">
        <v>236</v>
      </c>
      <c r="F151" s="1" t="s">
        <v>232</v>
      </c>
      <c r="G151" s="1" t="s">
        <v>231</v>
      </c>
      <c r="H151" s="1" t="s">
        <v>234</v>
      </c>
      <c r="I151" s="1" t="s">
        <v>235</v>
      </c>
      <c r="J151" s="1" t="str">
        <f t="shared" si="0"/>
        <v>011111010011</v>
      </c>
    </row>
    <row r="152" spans="1:10" ht="15.75" customHeight="1">
      <c r="A152" s="1">
        <v>151</v>
      </c>
      <c r="B152" s="1" t="s">
        <v>237</v>
      </c>
      <c r="C152" s="1" t="s">
        <v>229</v>
      </c>
      <c r="D152" s="1" t="s">
        <v>238</v>
      </c>
      <c r="E152" s="1" t="s">
        <v>236</v>
      </c>
      <c r="F152" s="1" t="s">
        <v>232</v>
      </c>
      <c r="G152" s="1" t="s">
        <v>231</v>
      </c>
      <c r="H152" s="1" t="s">
        <v>234</v>
      </c>
      <c r="I152" s="1" t="s">
        <v>228</v>
      </c>
      <c r="J152" s="1" t="str">
        <f t="shared" si="0"/>
        <v>011111010101</v>
      </c>
    </row>
    <row r="153" spans="1:10" ht="15.75" customHeight="1">
      <c r="A153" s="1">
        <v>152</v>
      </c>
      <c r="B153" s="1" t="s">
        <v>237</v>
      </c>
      <c r="C153" s="1" t="s">
        <v>229</v>
      </c>
      <c r="D153" s="1" t="s">
        <v>238</v>
      </c>
      <c r="E153" s="1" t="s">
        <v>236</v>
      </c>
      <c r="F153" s="1" t="s">
        <v>232</v>
      </c>
      <c r="G153" s="1" t="s">
        <v>231</v>
      </c>
      <c r="H153" s="1" t="s">
        <v>228</v>
      </c>
      <c r="I153" s="1" t="s">
        <v>235</v>
      </c>
      <c r="J153" s="1" t="str">
        <f t="shared" si="0"/>
        <v>011111010110</v>
      </c>
    </row>
    <row r="154" spans="1:10" ht="15.75" customHeight="1">
      <c r="A154" s="1">
        <v>153</v>
      </c>
      <c r="B154" s="1" t="s">
        <v>237</v>
      </c>
      <c r="C154" s="1" t="s">
        <v>228</v>
      </c>
      <c r="D154" s="1" t="s">
        <v>238</v>
      </c>
      <c r="E154" s="1" t="s">
        <v>236</v>
      </c>
      <c r="F154" s="1" t="s">
        <v>232</v>
      </c>
      <c r="G154" s="1" t="s">
        <v>231</v>
      </c>
      <c r="H154" s="1" t="s">
        <v>234</v>
      </c>
      <c r="I154" s="1" t="s">
        <v>230</v>
      </c>
      <c r="J154" s="1" t="str">
        <f t="shared" si="0"/>
        <v>011111011001</v>
      </c>
    </row>
    <row r="155" spans="1:10" ht="15.75" customHeight="1">
      <c r="A155" s="1">
        <v>154</v>
      </c>
      <c r="B155" s="1" t="s">
        <v>237</v>
      </c>
      <c r="C155" s="1" t="s">
        <v>228</v>
      </c>
      <c r="D155" s="1" t="s">
        <v>238</v>
      </c>
      <c r="E155" s="1" t="s">
        <v>236</v>
      </c>
      <c r="F155" s="1" t="s">
        <v>232</v>
      </c>
      <c r="G155" s="1" t="s">
        <v>231</v>
      </c>
      <c r="H155" s="1" t="s">
        <v>230</v>
      </c>
      <c r="I155" s="1" t="s">
        <v>235</v>
      </c>
      <c r="J155" s="1" t="str">
        <f t="shared" si="0"/>
        <v>011111011010</v>
      </c>
    </row>
    <row r="156" spans="1:10" ht="15.75" customHeight="1">
      <c r="A156" s="1">
        <v>155</v>
      </c>
      <c r="B156" s="1" t="s">
        <v>237</v>
      </c>
      <c r="C156" s="1" t="s">
        <v>229</v>
      </c>
      <c r="D156" s="1" t="s">
        <v>238</v>
      </c>
      <c r="E156" s="1" t="s">
        <v>236</v>
      </c>
      <c r="F156" s="1" t="s">
        <v>232</v>
      </c>
      <c r="G156" s="1" t="s">
        <v>231</v>
      </c>
      <c r="H156" s="1" t="s">
        <v>228</v>
      </c>
      <c r="I156" s="1" t="s">
        <v>230</v>
      </c>
      <c r="J156" s="1" t="str">
        <f t="shared" si="0"/>
        <v>011111011100</v>
      </c>
    </row>
    <row r="157" spans="1:10" ht="15.75" customHeight="1">
      <c r="A157" s="1">
        <v>156</v>
      </c>
      <c r="B157" s="1" t="s">
        <v>237</v>
      </c>
      <c r="C157" s="1" t="s">
        <v>233</v>
      </c>
      <c r="D157" s="1" t="s">
        <v>238</v>
      </c>
      <c r="E157" s="1" t="s">
        <v>236</v>
      </c>
      <c r="F157" s="1" t="s">
        <v>228</v>
      </c>
      <c r="G157" s="1" t="s">
        <v>231</v>
      </c>
      <c r="H157" s="1" t="s">
        <v>234</v>
      </c>
      <c r="I157" s="1" t="s">
        <v>235</v>
      </c>
      <c r="J157" s="1" t="str">
        <f t="shared" si="0"/>
        <v>011111100011</v>
      </c>
    </row>
    <row r="158" spans="1:10" ht="15.75" customHeight="1">
      <c r="A158" s="1">
        <v>157</v>
      </c>
      <c r="B158" s="1" t="s">
        <v>237</v>
      </c>
      <c r="C158" s="1" t="s">
        <v>233</v>
      </c>
      <c r="D158" s="1" t="s">
        <v>238</v>
      </c>
      <c r="E158" s="1" t="s">
        <v>236</v>
      </c>
      <c r="F158" s="1" t="s">
        <v>229</v>
      </c>
      <c r="G158" s="1" t="s">
        <v>231</v>
      </c>
      <c r="H158" s="1" t="s">
        <v>234</v>
      </c>
      <c r="I158" s="1" t="s">
        <v>228</v>
      </c>
      <c r="J158" s="1" t="str">
        <f t="shared" si="0"/>
        <v>011111100101</v>
      </c>
    </row>
    <row r="159" spans="1:10" ht="15.75" customHeight="1">
      <c r="A159" s="1">
        <v>158</v>
      </c>
      <c r="B159" s="1" t="s">
        <v>237</v>
      </c>
      <c r="C159" s="1" t="s">
        <v>233</v>
      </c>
      <c r="D159" s="1" t="s">
        <v>238</v>
      </c>
      <c r="E159" s="1" t="s">
        <v>236</v>
      </c>
      <c r="F159" s="1" t="s">
        <v>229</v>
      </c>
      <c r="G159" s="1" t="s">
        <v>231</v>
      </c>
      <c r="H159" s="1" t="s">
        <v>228</v>
      </c>
      <c r="I159" s="1" t="s">
        <v>235</v>
      </c>
      <c r="J159" s="1" t="str">
        <f t="shared" si="0"/>
        <v>011111100110</v>
      </c>
    </row>
    <row r="160" spans="1:10" ht="15.75" customHeight="1">
      <c r="A160" s="1">
        <v>159</v>
      </c>
      <c r="B160" s="1" t="s">
        <v>237</v>
      </c>
      <c r="C160" s="1" t="s">
        <v>233</v>
      </c>
      <c r="D160" s="1" t="s">
        <v>238</v>
      </c>
      <c r="E160" s="1" t="s">
        <v>236</v>
      </c>
      <c r="F160" s="1" t="s">
        <v>228</v>
      </c>
      <c r="G160" s="1" t="s">
        <v>231</v>
      </c>
      <c r="H160" s="1" t="s">
        <v>234</v>
      </c>
      <c r="I160" s="1" t="s">
        <v>230</v>
      </c>
      <c r="J160" s="1" t="str">
        <f t="shared" si="0"/>
        <v>011111101001</v>
      </c>
    </row>
    <row r="161" spans="1:10" ht="15.75" customHeight="1">
      <c r="A161" s="1">
        <v>160</v>
      </c>
      <c r="B161" s="1" t="s">
        <v>237</v>
      </c>
      <c r="C161" s="1" t="s">
        <v>233</v>
      </c>
      <c r="D161" s="1" t="s">
        <v>238</v>
      </c>
      <c r="E161" s="1" t="s">
        <v>236</v>
      </c>
      <c r="F161" s="1" t="s">
        <v>228</v>
      </c>
      <c r="G161" s="1" t="s">
        <v>231</v>
      </c>
      <c r="H161" s="1" t="s">
        <v>230</v>
      </c>
      <c r="I161" s="1" t="s">
        <v>235</v>
      </c>
      <c r="J161" s="1" t="str">
        <f t="shared" si="0"/>
        <v>011111101010</v>
      </c>
    </row>
    <row r="162" spans="1:10" ht="15.75" customHeight="1">
      <c r="A162" s="1">
        <v>161</v>
      </c>
      <c r="B162" s="1" t="s">
        <v>237</v>
      </c>
      <c r="C162" s="1" t="s">
        <v>233</v>
      </c>
      <c r="D162" s="1" t="s">
        <v>238</v>
      </c>
      <c r="E162" s="1" t="s">
        <v>236</v>
      </c>
      <c r="F162" s="1" t="s">
        <v>229</v>
      </c>
      <c r="G162" s="1" t="s">
        <v>231</v>
      </c>
      <c r="H162" s="1" t="s">
        <v>228</v>
      </c>
      <c r="I162" s="1" t="s">
        <v>230</v>
      </c>
      <c r="J162" s="1" t="str">
        <f t="shared" si="0"/>
        <v>011111101100</v>
      </c>
    </row>
    <row r="163" spans="1:10" ht="15.75" customHeight="1">
      <c r="A163" s="1">
        <v>162</v>
      </c>
      <c r="B163" s="1" t="s">
        <v>237</v>
      </c>
      <c r="C163" s="1" t="s">
        <v>233</v>
      </c>
      <c r="D163" s="1" t="s">
        <v>238</v>
      </c>
      <c r="E163" s="1" t="s">
        <v>236</v>
      </c>
      <c r="F163" s="1" t="s">
        <v>232</v>
      </c>
      <c r="G163" s="1" t="s">
        <v>231</v>
      </c>
      <c r="H163" s="1" t="s">
        <v>234</v>
      </c>
      <c r="I163" s="1" t="s">
        <v>228</v>
      </c>
      <c r="J163" s="1" t="str">
        <f t="shared" si="0"/>
        <v>011111110001</v>
      </c>
    </row>
    <row r="164" spans="1:10" ht="15.75" customHeight="1">
      <c r="A164" s="1">
        <v>163</v>
      </c>
      <c r="B164" s="1" t="s">
        <v>237</v>
      </c>
      <c r="C164" s="1" t="s">
        <v>233</v>
      </c>
      <c r="D164" s="1" t="s">
        <v>238</v>
      </c>
      <c r="E164" s="1" t="s">
        <v>236</v>
      </c>
      <c r="F164" s="1" t="s">
        <v>232</v>
      </c>
      <c r="G164" s="1" t="s">
        <v>231</v>
      </c>
      <c r="H164" s="1" t="s">
        <v>228</v>
      </c>
      <c r="I164" s="1" t="s">
        <v>235</v>
      </c>
      <c r="J164" s="1" t="str">
        <f t="shared" si="0"/>
        <v>011111110010</v>
      </c>
    </row>
    <row r="165" spans="1:10" ht="15.75" customHeight="1">
      <c r="A165" s="1">
        <v>164</v>
      </c>
      <c r="B165" s="1" t="s">
        <v>232</v>
      </c>
      <c r="C165" s="1" t="s">
        <v>233</v>
      </c>
      <c r="D165" s="1" t="s">
        <v>238</v>
      </c>
      <c r="E165" s="1" t="s">
        <v>237</v>
      </c>
      <c r="F165" s="1" t="s">
        <v>229</v>
      </c>
      <c r="G165" s="1" t="s">
        <v>231</v>
      </c>
      <c r="H165" s="1" t="s">
        <v>236</v>
      </c>
      <c r="I165" s="1" t="s">
        <v>228</v>
      </c>
      <c r="J165" s="1" t="str">
        <f t="shared" si="0"/>
        <v>011111110100</v>
      </c>
    </row>
    <row r="166" spans="1:10" ht="15.75" customHeight="1">
      <c r="A166" s="1">
        <v>165</v>
      </c>
      <c r="B166" s="1" t="s">
        <v>237</v>
      </c>
      <c r="C166" s="1" t="s">
        <v>233</v>
      </c>
      <c r="D166" s="1" t="s">
        <v>238</v>
      </c>
      <c r="E166" s="1" t="s">
        <v>236</v>
      </c>
      <c r="F166" s="1" t="s">
        <v>232</v>
      </c>
      <c r="G166" s="1" t="s">
        <v>231</v>
      </c>
      <c r="H166" s="1" t="s">
        <v>228</v>
      </c>
      <c r="I166" s="1" t="s">
        <v>230</v>
      </c>
      <c r="J166" s="1" t="str">
        <f t="shared" si="0"/>
        <v>011111111000</v>
      </c>
    </row>
    <row r="167" spans="1:10" ht="15.75" customHeight="1">
      <c r="A167" s="1">
        <v>166</v>
      </c>
      <c r="B167" s="1" t="s">
        <v>232</v>
      </c>
      <c r="C167" s="1" t="s">
        <v>229</v>
      </c>
      <c r="D167" s="1" t="s">
        <v>230</v>
      </c>
      <c r="E167" s="1" t="s">
        <v>231</v>
      </c>
      <c r="F167" s="1" t="s">
        <v>239</v>
      </c>
      <c r="G167" s="1" t="s">
        <v>233</v>
      </c>
      <c r="H167" s="1" t="s">
        <v>234</v>
      </c>
      <c r="I167" s="1" t="s">
        <v>235</v>
      </c>
      <c r="J167" s="1" t="str">
        <f t="shared" si="0"/>
        <v>100001111111</v>
      </c>
    </row>
    <row r="168" spans="1:10" ht="15.75" customHeight="1">
      <c r="A168" s="1">
        <v>167</v>
      </c>
      <c r="B168" s="1" t="s">
        <v>228</v>
      </c>
      <c r="C168" s="1" t="s">
        <v>229</v>
      </c>
      <c r="D168" s="1" t="s">
        <v>230</v>
      </c>
      <c r="E168" s="1" t="s">
        <v>239</v>
      </c>
      <c r="F168" s="1" t="s">
        <v>232</v>
      </c>
      <c r="G168" s="1" t="s">
        <v>233</v>
      </c>
      <c r="H168" s="1" t="s">
        <v>234</v>
      </c>
      <c r="I168" s="1" t="s">
        <v>235</v>
      </c>
      <c r="J168" s="1" t="str">
        <f t="shared" si="0"/>
        <v>100010111111</v>
      </c>
    </row>
    <row r="169" spans="1:10" ht="15.75" customHeight="1">
      <c r="A169" s="1">
        <v>168</v>
      </c>
      <c r="B169" s="1" t="s">
        <v>228</v>
      </c>
      <c r="C169" s="1" t="s">
        <v>229</v>
      </c>
      <c r="D169" s="1" t="s">
        <v>230</v>
      </c>
      <c r="E169" s="1" t="s">
        <v>231</v>
      </c>
      <c r="F169" s="1" t="s">
        <v>239</v>
      </c>
      <c r="G169" s="1" t="s">
        <v>232</v>
      </c>
      <c r="H169" s="1" t="s">
        <v>234</v>
      </c>
      <c r="I169" s="1" t="s">
        <v>235</v>
      </c>
      <c r="J169" s="1" t="str">
        <f t="shared" si="0"/>
        <v>100011011111</v>
      </c>
    </row>
    <row r="170" spans="1:10" ht="15.75" customHeight="1">
      <c r="A170" s="1">
        <v>169</v>
      </c>
      <c r="B170" s="1" t="s">
        <v>228</v>
      </c>
      <c r="C170" s="1" t="s">
        <v>229</v>
      </c>
      <c r="D170" s="1" t="s">
        <v>230</v>
      </c>
      <c r="E170" s="1" t="s">
        <v>231</v>
      </c>
      <c r="F170" s="1" t="s">
        <v>239</v>
      </c>
      <c r="G170" s="1" t="s">
        <v>233</v>
      </c>
      <c r="H170" s="1" t="s">
        <v>234</v>
      </c>
      <c r="I170" s="1" t="s">
        <v>235</v>
      </c>
      <c r="J170" s="1" t="str">
        <f t="shared" si="0"/>
        <v>100011101111</v>
      </c>
    </row>
    <row r="171" spans="1:10" ht="15.75" customHeight="1">
      <c r="A171" s="1">
        <v>170</v>
      </c>
      <c r="B171" s="1" t="s">
        <v>228</v>
      </c>
      <c r="C171" s="1" t="s">
        <v>233</v>
      </c>
      <c r="D171" s="1" t="s">
        <v>229</v>
      </c>
      <c r="E171" s="1" t="s">
        <v>231</v>
      </c>
      <c r="F171" s="1" t="s">
        <v>239</v>
      </c>
      <c r="G171" s="1" t="s">
        <v>232</v>
      </c>
      <c r="H171" s="1" t="s">
        <v>234</v>
      </c>
      <c r="I171" s="1" t="s">
        <v>235</v>
      </c>
      <c r="J171" s="1" t="str">
        <f t="shared" si="0"/>
        <v>100011110111</v>
      </c>
    </row>
    <row r="172" spans="1:10" ht="15.75" customHeight="1">
      <c r="A172" s="1">
        <v>171</v>
      </c>
      <c r="B172" s="1" t="s">
        <v>228</v>
      </c>
      <c r="C172" s="1" t="s">
        <v>233</v>
      </c>
      <c r="D172" s="1" t="s">
        <v>230</v>
      </c>
      <c r="E172" s="1" t="s">
        <v>231</v>
      </c>
      <c r="F172" s="1" t="s">
        <v>239</v>
      </c>
      <c r="G172" s="1" t="s">
        <v>232</v>
      </c>
      <c r="H172" s="1" t="s">
        <v>234</v>
      </c>
      <c r="I172" s="1" t="s">
        <v>235</v>
      </c>
      <c r="J172" s="1" t="str">
        <f t="shared" si="0"/>
        <v>100011111011</v>
      </c>
    </row>
    <row r="173" spans="1:10" ht="15.75" customHeight="1">
      <c r="A173" s="1">
        <v>172</v>
      </c>
      <c r="B173" s="1" t="s">
        <v>228</v>
      </c>
      <c r="C173" s="1" t="s">
        <v>233</v>
      </c>
      <c r="D173" s="1" t="s">
        <v>229</v>
      </c>
      <c r="E173" s="1" t="s">
        <v>231</v>
      </c>
      <c r="F173" s="1" t="s">
        <v>239</v>
      </c>
      <c r="G173" s="1" t="s">
        <v>232</v>
      </c>
      <c r="H173" s="1" t="s">
        <v>234</v>
      </c>
      <c r="I173" s="1" t="s">
        <v>230</v>
      </c>
      <c r="J173" s="1" t="str">
        <f t="shared" si="0"/>
        <v>100011111101</v>
      </c>
    </row>
    <row r="174" spans="1:10" ht="15.75" customHeight="1">
      <c r="A174" s="1">
        <v>173</v>
      </c>
      <c r="B174" s="1" t="s">
        <v>228</v>
      </c>
      <c r="C174" s="1" t="s">
        <v>233</v>
      </c>
      <c r="D174" s="1" t="s">
        <v>229</v>
      </c>
      <c r="E174" s="1" t="s">
        <v>231</v>
      </c>
      <c r="F174" s="1" t="s">
        <v>239</v>
      </c>
      <c r="G174" s="1" t="s">
        <v>232</v>
      </c>
      <c r="H174" s="1" t="s">
        <v>230</v>
      </c>
      <c r="I174" s="1" t="s">
        <v>235</v>
      </c>
      <c r="J174" s="1" t="str">
        <f t="shared" si="0"/>
        <v>100011111110</v>
      </c>
    </row>
    <row r="175" spans="1:10" ht="15.75" customHeight="1">
      <c r="A175" s="1">
        <v>174</v>
      </c>
      <c r="B175" s="1" t="s">
        <v>232</v>
      </c>
      <c r="C175" s="1" t="s">
        <v>229</v>
      </c>
      <c r="D175" s="1" t="s">
        <v>230</v>
      </c>
      <c r="E175" s="1" t="s">
        <v>236</v>
      </c>
      <c r="F175" s="1" t="s">
        <v>239</v>
      </c>
      <c r="G175" s="1" t="s">
        <v>233</v>
      </c>
      <c r="H175" s="1" t="s">
        <v>234</v>
      </c>
      <c r="I175" s="1" t="s">
        <v>235</v>
      </c>
      <c r="J175" s="1" t="str">
        <f t="shared" si="0"/>
        <v>100100111111</v>
      </c>
    </row>
    <row r="176" spans="1:10" ht="15.75" customHeight="1">
      <c r="A176" s="1">
        <v>175</v>
      </c>
      <c r="B176" s="1" t="s">
        <v>232</v>
      </c>
      <c r="C176" s="1" t="s">
        <v>229</v>
      </c>
      <c r="D176" s="1" t="s">
        <v>230</v>
      </c>
      <c r="E176" s="1" t="s">
        <v>236</v>
      </c>
      <c r="F176" s="1" t="s">
        <v>239</v>
      </c>
      <c r="G176" s="1" t="s">
        <v>231</v>
      </c>
      <c r="H176" s="1" t="s">
        <v>234</v>
      </c>
      <c r="I176" s="1" t="s">
        <v>235</v>
      </c>
      <c r="J176" s="1" t="str">
        <f t="shared" si="0"/>
        <v>100101011111</v>
      </c>
    </row>
    <row r="177" spans="1:10" ht="15.75" customHeight="1">
      <c r="A177" s="1">
        <v>176</v>
      </c>
      <c r="B177" s="1" t="s">
        <v>230</v>
      </c>
      <c r="C177" s="1" t="s">
        <v>233</v>
      </c>
      <c r="D177" s="1" t="s">
        <v>229</v>
      </c>
      <c r="E177" s="1" t="s">
        <v>236</v>
      </c>
      <c r="F177" s="1" t="s">
        <v>239</v>
      </c>
      <c r="G177" s="1" t="s">
        <v>231</v>
      </c>
      <c r="H177" s="1" t="s">
        <v>234</v>
      </c>
      <c r="I177" s="1" t="s">
        <v>235</v>
      </c>
      <c r="J177" s="1" t="str">
        <f t="shared" si="0"/>
        <v>100101101111</v>
      </c>
    </row>
    <row r="178" spans="1:10" ht="15.75" customHeight="1">
      <c r="A178" s="1">
        <v>177</v>
      </c>
      <c r="B178" s="1" t="s">
        <v>232</v>
      </c>
      <c r="C178" s="1" t="s">
        <v>233</v>
      </c>
      <c r="D178" s="1" t="s">
        <v>229</v>
      </c>
      <c r="E178" s="1" t="s">
        <v>236</v>
      </c>
      <c r="F178" s="1" t="s">
        <v>239</v>
      </c>
      <c r="G178" s="1" t="s">
        <v>231</v>
      </c>
      <c r="H178" s="1" t="s">
        <v>234</v>
      </c>
      <c r="I178" s="1" t="s">
        <v>235</v>
      </c>
      <c r="J178" s="1" t="str">
        <f t="shared" si="0"/>
        <v>100101110111</v>
      </c>
    </row>
    <row r="179" spans="1:10" ht="15.75" customHeight="1">
      <c r="A179" s="1">
        <v>178</v>
      </c>
      <c r="B179" s="1" t="s">
        <v>232</v>
      </c>
      <c r="C179" s="1" t="s">
        <v>233</v>
      </c>
      <c r="D179" s="1" t="s">
        <v>230</v>
      </c>
      <c r="E179" s="1" t="s">
        <v>236</v>
      </c>
      <c r="F179" s="1" t="s">
        <v>239</v>
      </c>
      <c r="G179" s="1" t="s">
        <v>231</v>
      </c>
      <c r="H179" s="1" t="s">
        <v>234</v>
      </c>
      <c r="I179" s="1" t="s">
        <v>235</v>
      </c>
      <c r="J179" s="1" t="str">
        <f t="shared" si="0"/>
        <v>100101111011</v>
      </c>
    </row>
    <row r="180" spans="1:10" ht="15.75" customHeight="1">
      <c r="A180" s="1">
        <v>179</v>
      </c>
      <c r="B180" s="1" t="s">
        <v>232</v>
      </c>
      <c r="C180" s="1" t="s">
        <v>233</v>
      </c>
      <c r="D180" s="1" t="s">
        <v>229</v>
      </c>
      <c r="E180" s="1" t="s">
        <v>236</v>
      </c>
      <c r="F180" s="1" t="s">
        <v>239</v>
      </c>
      <c r="G180" s="1" t="s">
        <v>231</v>
      </c>
      <c r="H180" s="1" t="s">
        <v>234</v>
      </c>
      <c r="I180" s="1" t="s">
        <v>230</v>
      </c>
      <c r="J180" s="1" t="str">
        <f t="shared" si="0"/>
        <v>100101111101</v>
      </c>
    </row>
    <row r="181" spans="1:10" ht="15.75" customHeight="1">
      <c r="A181" s="1">
        <v>180</v>
      </c>
      <c r="B181" s="1" t="s">
        <v>232</v>
      </c>
      <c r="C181" s="1" t="s">
        <v>233</v>
      </c>
      <c r="D181" s="1" t="s">
        <v>229</v>
      </c>
      <c r="E181" s="1" t="s">
        <v>236</v>
      </c>
      <c r="F181" s="1" t="s">
        <v>239</v>
      </c>
      <c r="G181" s="1" t="s">
        <v>231</v>
      </c>
      <c r="H181" s="1" t="s">
        <v>230</v>
      </c>
      <c r="I181" s="1" t="s">
        <v>235</v>
      </c>
      <c r="J181" s="1" t="str">
        <f t="shared" si="0"/>
        <v>100101111110</v>
      </c>
    </row>
    <row r="182" spans="1:10" ht="15.75" customHeight="1">
      <c r="A182" s="1">
        <v>181</v>
      </c>
      <c r="B182" s="1" t="s">
        <v>228</v>
      </c>
      <c r="C182" s="1" t="s">
        <v>229</v>
      </c>
      <c r="D182" s="1" t="s">
        <v>230</v>
      </c>
      <c r="E182" s="1" t="s">
        <v>236</v>
      </c>
      <c r="F182" s="1" t="s">
        <v>239</v>
      </c>
      <c r="G182" s="1" t="s">
        <v>232</v>
      </c>
      <c r="H182" s="1" t="s">
        <v>234</v>
      </c>
      <c r="I182" s="1" t="s">
        <v>235</v>
      </c>
      <c r="J182" s="1" t="str">
        <f t="shared" si="0"/>
        <v>100110011111</v>
      </c>
    </row>
    <row r="183" spans="1:10" ht="15.75" customHeight="1">
      <c r="A183" s="1">
        <v>182</v>
      </c>
      <c r="B183" s="1" t="s">
        <v>228</v>
      </c>
      <c r="C183" s="1" t="s">
        <v>229</v>
      </c>
      <c r="D183" s="1" t="s">
        <v>230</v>
      </c>
      <c r="E183" s="1" t="s">
        <v>236</v>
      </c>
      <c r="F183" s="1" t="s">
        <v>239</v>
      </c>
      <c r="G183" s="1" t="s">
        <v>233</v>
      </c>
      <c r="H183" s="1" t="s">
        <v>234</v>
      </c>
      <c r="I183" s="1" t="s">
        <v>235</v>
      </c>
      <c r="J183" s="1" t="str">
        <f t="shared" si="0"/>
        <v>100110101111</v>
      </c>
    </row>
    <row r="184" spans="1:10" ht="15.75" customHeight="1">
      <c r="A184" s="1">
        <v>183</v>
      </c>
      <c r="B184" s="1" t="s">
        <v>228</v>
      </c>
      <c r="C184" s="1" t="s">
        <v>233</v>
      </c>
      <c r="D184" s="1" t="s">
        <v>229</v>
      </c>
      <c r="E184" s="1" t="s">
        <v>236</v>
      </c>
      <c r="F184" s="1" t="s">
        <v>239</v>
      </c>
      <c r="G184" s="1" t="s">
        <v>232</v>
      </c>
      <c r="H184" s="1" t="s">
        <v>234</v>
      </c>
      <c r="I184" s="1" t="s">
        <v>235</v>
      </c>
      <c r="J184" s="1" t="str">
        <f t="shared" si="0"/>
        <v>100110110111</v>
      </c>
    </row>
    <row r="185" spans="1:10" ht="15.75" customHeight="1">
      <c r="A185" s="1">
        <v>184</v>
      </c>
      <c r="B185" s="1" t="s">
        <v>228</v>
      </c>
      <c r="C185" s="1" t="s">
        <v>233</v>
      </c>
      <c r="D185" s="1" t="s">
        <v>230</v>
      </c>
      <c r="E185" s="1" t="s">
        <v>236</v>
      </c>
      <c r="F185" s="1" t="s">
        <v>239</v>
      </c>
      <c r="G185" s="1" t="s">
        <v>232</v>
      </c>
      <c r="H185" s="1" t="s">
        <v>234</v>
      </c>
      <c r="I185" s="1" t="s">
        <v>235</v>
      </c>
      <c r="J185" s="1" t="str">
        <f t="shared" si="0"/>
        <v>100110111011</v>
      </c>
    </row>
    <row r="186" spans="1:10" ht="15.75" customHeight="1">
      <c r="A186" s="1">
        <v>185</v>
      </c>
      <c r="B186" s="1" t="s">
        <v>228</v>
      </c>
      <c r="C186" s="1" t="s">
        <v>233</v>
      </c>
      <c r="D186" s="1" t="s">
        <v>229</v>
      </c>
      <c r="E186" s="1" t="s">
        <v>236</v>
      </c>
      <c r="F186" s="1" t="s">
        <v>239</v>
      </c>
      <c r="G186" s="1" t="s">
        <v>232</v>
      </c>
      <c r="H186" s="1" t="s">
        <v>234</v>
      </c>
      <c r="I186" s="1" t="s">
        <v>230</v>
      </c>
      <c r="J186" s="1" t="str">
        <f t="shared" si="0"/>
        <v>100110111101</v>
      </c>
    </row>
    <row r="187" spans="1:10" ht="15.75" customHeight="1">
      <c r="A187" s="1">
        <v>186</v>
      </c>
      <c r="B187" s="1" t="s">
        <v>228</v>
      </c>
      <c r="C187" s="1" t="s">
        <v>233</v>
      </c>
      <c r="D187" s="1" t="s">
        <v>229</v>
      </c>
      <c r="E187" s="1" t="s">
        <v>236</v>
      </c>
      <c r="F187" s="1" t="s">
        <v>239</v>
      </c>
      <c r="G187" s="1" t="s">
        <v>232</v>
      </c>
      <c r="H187" s="1" t="s">
        <v>230</v>
      </c>
      <c r="I187" s="1" t="s">
        <v>235</v>
      </c>
      <c r="J187" s="1" t="str">
        <f t="shared" si="0"/>
        <v>100110111110</v>
      </c>
    </row>
    <row r="188" spans="1:10" ht="15.75" customHeight="1">
      <c r="A188" s="1">
        <v>187</v>
      </c>
      <c r="B188" s="1" t="s">
        <v>228</v>
      </c>
      <c r="C188" s="1" t="s">
        <v>229</v>
      </c>
      <c r="D188" s="1" t="s">
        <v>230</v>
      </c>
      <c r="E188" s="1" t="s">
        <v>236</v>
      </c>
      <c r="F188" s="1" t="s">
        <v>239</v>
      </c>
      <c r="G188" s="1" t="s">
        <v>231</v>
      </c>
      <c r="H188" s="1" t="s">
        <v>234</v>
      </c>
      <c r="I188" s="1" t="s">
        <v>235</v>
      </c>
      <c r="J188" s="1" t="str">
        <f t="shared" si="0"/>
        <v>100111001111</v>
      </c>
    </row>
    <row r="189" spans="1:10" ht="15.75" customHeight="1">
      <c r="A189" s="1">
        <v>188</v>
      </c>
      <c r="B189" s="1" t="s">
        <v>232</v>
      </c>
      <c r="C189" s="1" t="s">
        <v>229</v>
      </c>
      <c r="D189" s="1" t="s">
        <v>228</v>
      </c>
      <c r="E189" s="1" t="s">
        <v>236</v>
      </c>
      <c r="F189" s="1" t="s">
        <v>239</v>
      </c>
      <c r="G189" s="1" t="s">
        <v>231</v>
      </c>
      <c r="H189" s="1" t="s">
        <v>234</v>
      </c>
      <c r="I189" s="1" t="s">
        <v>235</v>
      </c>
      <c r="J189" s="1" t="str">
        <f t="shared" si="0"/>
        <v>100111010111</v>
      </c>
    </row>
    <row r="190" spans="1:10" ht="15.75" customHeight="1">
      <c r="A190" s="1">
        <v>189</v>
      </c>
      <c r="B190" s="1" t="s">
        <v>232</v>
      </c>
      <c r="C190" s="1" t="s">
        <v>228</v>
      </c>
      <c r="D190" s="1" t="s">
        <v>230</v>
      </c>
      <c r="E190" s="1" t="s">
        <v>236</v>
      </c>
      <c r="F190" s="1" t="s">
        <v>239</v>
      </c>
      <c r="G190" s="1" t="s">
        <v>231</v>
      </c>
      <c r="H190" s="1" t="s">
        <v>234</v>
      </c>
      <c r="I190" s="1" t="s">
        <v>235</v>
      </c>
      <c r="J190" s="1" t="str">
        <f t="shared" si="0"/>
        <v>100111011011</v>
      </c>
    </row>
    <row r="191" spans="1:10" ht="15.75" customHeight="1">
      <c r="A191" s="1">
        <v>190</v>
      </c>
      <c r="B191" s="1" t="s">
        <v>232</v>
      </c>
      <c r="C191" s="1" t="s">
        <v>229</v>
      </c>
      <c r="D191" s="1" t="s">
        <v>228</v>
      </c>
      <c r="E191" s="1" t="s">
        <v>236</v>
      </c>
      <c r="F191" s="1" t="s">
        <v>239</v>
      </c>
      <c r="G191" s="1" t="s">
        <v>231</v>
      </c>
      <c r="H191" s="1" t="s">
        <v>234</v>
      </c>
      <c r="I191" s="1" t="s">
        <v>230</v>
      </c>
      <c r="J191" s="1" t="str">
        <f t="shared" si="0"/>
        <v>100111011101</v>
      </c>
    </row>
    <row r="192" spans="1:10" ht="15.75" customHeight="1">
      <c r="A192" s="1">
        <v>191</v>
      </c>
      <c r="B192" s="1" t="s">
        <v>232</v>
      </c>
      <c r="C192" s="1" t="s">
        <v>229</v>
      </c>
      <c r="D192" s="1" t="s">
        <v>228</v>
      </c>
      <c r="E192" s="1" t="s">
        <v>236</v>
      </c>
      <c r="F192" s="1" t="s">
        <v>239</v>
      </c>
      <c r="G192" s="1" t="s">
        <v>231</v>
      </c>
      <c r="H192" s="1" t="s">
        <v>230</v>
      </c>
      <c r="I192" s="1" t="s">
        <v>235</v>
      </c>
      <c r="J192" s="1" t="str">
        <f t="shared" si="0"/>
        <v>100111011110</v>
      </c>
    </row>
    <row r="193" spans="1:10" ht="15.75" customHeight="1">
      <c r="A193" s="1">
        <v>192</v>
      </c>
      <c r="B193" s="1" t="s">
        <v>228</v>
      </c>
      <c r="C193" s="1" t="s">
        <v>233</v>
      </c>
      <c r="D193" s="1" t="s">
        <v>229</v>
      </c>
      <c r="E193" s="1" t="s">
        <v>236</v>
      </c>
      <c r="F193" s="1" t="s">
        <v>239</v>
      </c>
      <c r="G193" s="1" t="s">
        <v>231</v>
      </c>
      <c r="H193" s="1" t="s">
        <v>234</v>
      </c>
      <c r="I193" s="1" t="s">
        <v>235</v>
      </c>
      <c r="J193" s="1" t="str">
        <f t="shared" si="0"/>
        <v>100111100111</v>
      </c>
    </row>
    <row r="194" spans="1:10" ht="15.75" customHeight="1">
      <c r="A194" s="1">
        <v>193</v>
      </c>
      <c r="B194" s="1" t="s">
        <v>228</v>
      </c>
      <c r="C194" s="1" t="s">
        <v>233</v>
      </c>
      <c r="D194" s="1" t="s">
        <v>230</v>
      </c>
      <c r="E194" s="1" t="s">
        <v>236</v>
      </c>
      <c r="F194" s="1" t="s">
        <v>239</v>
      </c>
      <c r="G194" s="1" t="s">
        <v>231</v>
      </c>
      <c r="H194" s="1" t="s">
        <v>234</v>
      </c>
      <c r="I194" s="1" t="s">
        <v>235</v>
      </c>
      <c r="J194" s="1" t="str">
        <f t="shared" si="0"/>
        <v>100111101011</v>
      </c>
    </row>
    <row r="195" spans="1:10" ht="15.75" customHeight="1">
      <c r="A195" s="1">
        <v>194</v>
      </c>
      <c r="B195" s="1" t="s">
        <v>228</v>
      </c>
      <c r="C195" s="1" t="s">
        <v>233</v>
      </c>
      <c r="D195" s="1" t="s">
        <v>229</v>
      </c>
      <c r="E195" s="1" t="s">
        <v>236</v>
      </c>
      <c r="F195" s="1" t="s">
        <v>239</v>
      </c>
      <c r="G195" s="1" t="s">
        <v>231</v>
      </c>
      <c r="H195" s="1" t="s">
        <v>234</v>
      </c>
      <c r="I195" s="1" t="s">
        <v>230</v>
      </c>
      <c r="J195" s="1" t="str">
        <f t="shared" si="0"/>
        <v>100111101101</v>
      </c>
    </row>
    <row r="196" spans="1:10" ht="15.75" customHeight="1">
      <c r="A196" s="1">
        <v>195</v>
      </c>
      <c r="B196" s="1" t="s">
        <v>228</v>
      </c>
      <c r="C196" s="1" t="s">
        <v>233</v>
      </c>
      <c r="D196" s="1" t="s">
        <v>229</v>
      </c>
      <c r="E196" s="1" t="s">
        <v>236</v>
      </c>
      <c r="F196" s="1" t="s">
        <v>239</v>
      </c>
      <c r="G196" s="1" t="s">
        <v>231</v>
      </c>
      <c r="H196" s="1" t="s">
        <v>230</v>
      </c>
      <c r="I196" s="1" t="s">
        <v>235</v>
      </c>
      <c r="J196" s="1" t="str">
        <f t="shared" si="0"/>
        <v>100111101110</v>
      </c>
    </row>
    <row r="197" spans="1:10" ht="15.75" customHeight="1">
      <c r="A197" s="1">
        <v>196</v>
      </c>
      <c r="B197" s="1" t="s">
        <v>232</v>
      </c>
      <c r="C197" s="1" t="s">
        <v>233</v>
      </c>
      <c r="D197" s="1" t="s">
        <v>228</v>
      </c>
      <c r="E197" s="1" t="s">
        <v>236</v>
      </c>
      <c r="F197" s="1" t="s">
        <v>239</v>
      </c>
      <c r="G197" s="1" t="s">
        <v>231</v>
      </c>
      <c r="H197" s="1" t="s">
        <v>234</v>
      </c>
      <c r="I197" s="1" t="s">
        <v>235</v>
      </c>
      <c r="J197" s="1" t="str">
        <f t="shared" si="0"/>
        <v>100111110011</v>
      </c>
    </row>
    <row r="198" spans="1:10" ht="15.75" customHeight="1">
      <c r="A198" s="1">
        <v>197</v>
      </c>
      <c r="B198" s="1" t="s">
        <v>232</v>
      </c>
      <c r="C198" s="1" t="s">
        <v>233</v>
      </c>
      <c r="D198" s="1" t="s">
        <v>229</v>
      </c>
      <c r="E198" s="1" t="s">
        <v>236</v>
      </c>
      <c r="F198" s="1" t="s">
        <v>239</v>
      </c>
      <c r="G198" s="1" t="s">
        <v>231</v>
      </c>
      <c r="H198" s="1" t="s">
        <v>234</v>
      </c>
      <c r="I198" s="1" t="s">
        <v>228</v>
      </c>
      <c r="J198" s="1" t="str">
        <f t="shared" si="0"/>
        <v>100111110101</v>
      </c>
    </row>
    <row r="199" spans="1:10" ht="15.75" customHeight="1">
      <c r="A199" s="1">
        <v>198</v>
      </c>
      <c r="B199" s="1" t="s">
        <v>232</v>
      </c>
      <c r="C199" s="1" t="s">
        <v>233</v>
      </c>
      <c r="D199" s="1" t="s">
        <v>229</v>
      </c>
      <c r="E199" s="1" t="s">
        <v>236</v>
      </c>
      <c r="F199" s="1" t="s">
        <v>239</v>
      </c>
      <c r="G199" s="1" t="s">
        <v>231</v>
      </c>
      <c r="H199" s="1" t="s">
        <v>228</v>
      </c>
      <c r="I199" s="1" t="s">
        <v>235</v>
      </c>
      <c r="J199" s="1" t="str">
        <f t="shared" si="0"/>
        <v>100111110110</v>
      </c>
    </row>
    <row r="200" spans="1:10" ht="15.75" customHeight="1">
      <c r="A200" s="1">
        <v>199</v>
      </c>
      <c r="B200" s="1" t="s">
        <v>232</v>
      </c>
      <c r="C200" s="1" t="s">
        <v>233</v>
      </c>
      <c r="D200" s="1" t="s">
        <v>228</v>
      </c>
      <c r="E200" s="1" t="s">
        <v>236</v>
      </c>
      <c r="F200" s="1" t="s">
        <v>239</v>
      </c>
      <c r="G200" s="1" t="s">
        <v>231</v>
      </c>
      <c r="H200" s="1" t="s">
        <v>234</v>
      </c>
      <c r="I200" s="1" t="s">
        <v>230</v>
      </c>
      <c r="J200" s="1" t="str">
        <f t="shared" si="0"/>
        <v>100111111001</v>
      </c>
    </row>
    <row r="201" spans="1:10" ht="15.75" customHeight="1">
      <c r="A201" s="1">
        <v>200</v>
      </c>
      <c r="B201" s="1" t="s">
        <v>232</v>
      </c>
      <c r="C201" s="1" t="s">
        <v>233</v>
      </c>
      <c r="D201" s="1" t="s">
        <v>228</v>
      </c>
      <c r="E201" s="1" t="s">
        <v>236</v>
      </c>
      <c r="F201" s="1" t="s">
        <v>239</v>
      </c>
      <c r="G201" s="1" t="s">
        <v>231</v>
      </c>
      <c r="H201" s="1" t="s">
        <v>230</v>
      </c>
      <c r="I201" s="1" t="s">
        <v>235</v>
      </c>
      <c r="J201" s="1" t="str">
        <f t="shared" si="0"/>
        <v>100111111010</v>
      </c>
    </row>
    <row r="202" spans="1:10" ht="15.75" customHeight="1">
      <c r="A202" s="1">
        <v>201</v>
      </c>
      <c r="B202" s="1" t="s">
        <v>232</v>
      </c>
      <c r="C202" s="1" t="s">
        <v>233</v>
      </c>
      <c r="D202" s="1" t="s">
        <v>229</v>
      </c>
      <c r="E202" s="1" t="s">
        <v>236</v>
      </c>
      <c r="F202" s="1" t="s">
        <v>239</v>
      </c>
      <c r="G202" s="1" t="s">
        <v>231</v>
      </c>
      <c r="H202" s="1" t="s">
        <v>228</v>
      </c>
      <c r="I202" s="1" t="s">
        <v>230</v>
      </c>
      <c r="J202" s="1" t="str">
        <f t="shared" si="0"/>
        <v>100111111100</v>
      </c>
    </row>
    <row r="203" spans="1:10" ht="15.75" customHeight="1">
      <c r="A203" s="1">
        <v>202</v>
      </c>
      <c r="B203" s="1" t="s">
        <v>232</v>
      </c>
      <c r="C203" s="1" t="s">
        <v>229</v>
      </c>
      <c r="D203" s="1" t="s">
        <v>230</v>
      </c>
      <c r="E203" s="1" t="s">
        <v>237</v>
      </c>
      <c r="F203" s="1" t="s">
        <v>239</v>
      </c>
      <c r="G203" s="1" t="s">
        <v>233</v>
      </c>
      <c r="H203" s="1" t="s">
        <v>234</v>
      </c>
      <c r="I203" s="1" t="s">
        <v>235</v>
      </c>
      <c r="J203" s="1" t="str">
        <f t="shared" si="0"/>
        <v>101000111111</v>
      </c>
    </row>
    <row r="204" spans="1:10" ht="15.75" customHeight="1">
      <c r="A204" s="1">
        <v>203</v>
      </c>
      <c r="B204" s="1" t="s">
        <v>232</v>
      </c>
      <c r="C204" s="1" t="s">
        <v>229</v>
      </c>
      <c r="D204" s="1" t="s">
        <v>230</v>
      </c>
      <c r="E204" s="1" t="s">
        <v>237</v>
      </c>
      <c r="F204" s="1" t="s">
        <v>239</v>
      </c>
      <c r="G204" s="1" t="s">
        <v>231</v>
      </c>
      <c r="H204" s="1" t="s">
        <v>234</v>
      </c>
      <c r="I204" s="1" t="s">
        <v>235</v>
      </c>
      <c r="J204" s="1" t="str">
        <f t="shared" si="0"/>
        <v>101001011111</v>
      </c>
    </row>
    <row r="205" spans="1:10" ht="15.75" customHeight="1">
      <c r="A205" s="1">
        <v>204</v>
      </c>
      <c r="B205" s="1" t="s">
        <v>230</v>
      </c>
      <c r="C205" s="1" t="s">
        <v>233</v>
      </c>
      <c r="D205" s="1" t="s">
        <v>229</v>
      </c>
      <c r="E205" s="1" t="s">
        <v>237</v>
      </c>
      <c r="F205" s="1" t="s">
        <v>239</v>
      </c>
      <c r="G205" s="1" t="s">
        <v>231</v>
      </c>
      <c r="H205" s="1" t="s">
        <v>234</v>
      </c>
      <c r="I205" s="1" t="s">
        <v>235</v>
      </c>
      <c r="J205" s="1" t="str">
        <f t="shared" si="0"/>
        <v>101001101111</v>
      </c>
    </row>
    <row r="206" spans="1:10" ht="15.75" customHeight="1">
      <c r="A206" s="1">
        <v>205</v>
      </c>
      <c r="B206" s="1" t="s">
        <v>232</v>
      </c>
      <c r="C206" s="1" t="s">
        <v>233</v>
      </c>
      <c r="D206" s="1" t="s">
        <v>229</v>
      </c>
      <c r="E206" s="1" t="s">
        <v>237</v>
      </c>
      <c r="F206" s="1" t="s">
        <v>239</v>
      </c>
      <c r="G206" s="1" t="s">
        <v>231</v>
      </c>
      <c r="H206" s="1" t="s">
        <v>234</v>
      </c>
      <c r="I206" s="1" t="s">
        <v>235</v>
      </c>
      <c r="J206" s="1" t="str">
        <f t="shared" si="0"/>
        <v>101001110111</v>
      </c>
    </row>
    <row r="207" spans="1:10" ht="15.75" customHeight="1">
      <c r="A207" s="1">
        <v>206</v>
      </c>
      <c r="B207" s="1" t="s">
        <v>232</v>
      </c>
      <c r="C207" s="1" t="s">
        <v>233</v>
      </c>
      <c r="D207" s="1" t="s">
        <v>230</v>
      </c>
      <c r="E207" s="1" t="s">
        <v>237</v>
      </c>
      <c r="F207" s="1" t="s">
        <v>239</v>
      </c>
      <c r="G207" s="1" t="s">
        <v>231</v>
      </c>
      <c r="H207" s="1" t="s">
        <v>234</v>
      </c>
      <c r="I207" s="1" t="s">
        <v>235</v>
      </c>
      <c r="J207" s="1" t="str">
        <f t="shared" si="0"/>
        <v>101001111011</v>
      </c>
    </row>
    <row r="208" spans="1:10" ht="15.75" customHeight="1">
      <c r="A208" s="1">
        <v>207</v>
      </c>
      <c r="B208" s="1" t="s">
        <v>232</v>
      </c>
      <c r="C208" s="1" t="s">
        <v>233</v>
      </c>
      <c r="D208" s="1" t="s">
        <v>229</v>
      </c>
      <c r="E208" s="1" t="s">
        <v>237</v>
      </c>
      <c r="F208" s="1" t="s">
        <v>239</v>
      </c>
      <c r="G208" s="1" t="s">
        <v>231</v>
      </c>
      <c r="H208" s="1" t="s">
        <v>234</v>
      </c>
      <c r="I208" s="1" t="s">
        <v>230</v>
      </c>
      <c r="J208" s="1" t="str">
        <f t="shared" si="0"/>
        <v>101001111101</v>
      </c>
    </row>
    <row r="209" spans="1:10" ht="15.75" customHeight="1">
      <c r="A209" s="1">
        <v>208</v>
      </c>
      <c r="B209" s="1" t="s">
        <v>232</v>
      </c>
      <c r="C209" s="1" t="s">
        <v>233</v>
      </c>
      <c r="D209" s="1" t="s">
        <v>229</v>
      </c>
      <c r="E209" s="1" t="s">
        <v>237</v>
      </c>
      <c r="F209" s="1" t="s">
        <v>239</v>
      </c>
      <c r="G209" s="1" t="s">
        <v>231</v>
      </c>
      <c r="H209" s="1" t="s">
        <v>230</v>
      </c>
      <c r="I209" s="1" t="s">
        <v>235</v>
      </c>
      <c r="J209" s="1" t="str">
        <f t="shared" si="0"/>
        <v>101001111110</v>
      </c>
    </row>
    <row r="210" spans="1:10" ht="15.75" customHeight="1">
      <c r="A210" s="1">
        <v>209</v>
      </c>
      <c r="B210" s="1" t="s">
        <v>228</v>
      </c>
      <c r="C210" s="1" t="s">
        <v>229</v>
      </c>
      <c r="D210" s="1" t="s">
        <v>230</v>
      </c>
      <c r="E210" s="1" t="s">
        <v>237</v>
      </c>
      <c r="F210" s="1" t="s">
        <v>239</v>
      </c>
      <c r="G210" s="1" t="s">
        <v>232</v>
      </c>
      <c r="H210" s="1" t="s">
        <v>234</v>
      </c>
      <c r="I210" s="1" t="s">
        <v>235</v>
      </c>
      <c r="J210" s="1" t="str">
        <f t="shared" si="0"/>
        <v>101010011111</v>
      </c>
    </row>
    <row r="211" spans="1:10" ht="15.75" customHeight="1">
      <c r="A211" s="1">
        <v>210</v>
      </c>
      <c r="B211" s="1" t="s">
        <v>228</v>
      </c>
      <c r="C211" s="1" t="s">
        <v>229</v>
      </c>
      <c r="D211" s="1" t="s">
        <v>230</v>
      </c>
      <c r="E211" s="1" t="s">
        <v>237</v>
      </c>
      <c r="F211" s="1" t="s">
        <v>239</v>
      </c>
      <c r="G211" s="1" t="s">
        <v>233</v>
      </c>
      <c r="H211" s="1" t="s">
        <v>234</v>
      </c>
      <c r="I211" s="1" t="s">
        <v>235</v>
      </c>
      <c r="J211" s="1" t="str">
        <f t="shared" si="0"/>
        <v>101010101111</v>
      </c>
    </row>
    <row r="212" spans="1:10" ht="15.75" customHeight="1">
      <c r="A212" s="1">
        <v>211</v>
      </c>
      <c r="B212" s="1" t="s">
        <v>228</v>
      </c>
      <c r="C212" s="1" t="s">
        <v>233</v>
      </c>
      <c r="D212" s="1" t="s">
        <v>229</v>
      </c>
      <c r="E212" s="1" t="s">
        <v>237</v>
      </c>
      <c r="F212" s="1" t="s">
        <v>239</v>
      </c>
      <c r="G212" s="1" t="s">
        <v>232</v>
      </c>
      <c r="H212" s="1" t="s">
        <v>234</v>
      </c>
      <c r="I212" s="1" t="s">
        <v>235</v>
      </c>
      <c r="J212" s="1" t="str">
        <f t="shared" si="0"/>
        <v>101010110111</v>
      </c>
    </row>
    <row r="213" spans="1:10" ht="15.75" customHeight="1">
      <c r="A213" s="1">
        <v>212</v>
      </c>
      <c r="B213" s="1" t="s">
        <v>228</v>
      </c>
      <c r="C213" s="1" t="s">
        <v>233</v>
      </c>
      <c r="D213" s="1" t="s">
        <v>230</v>
      </c>
      <c r="E213" s="1" t="s">
        <v>237</v>
      </c>
      <c r="F213" s="1" t="s">
        <v>239</v>
      </c>
      <c r="G213" s="1" t="s">
        <v>232</v>
      </c>
      <c r="H213" s="1" t="s">
        <v>234</v>
      </c>
      <c r="I213" s="1" t="s">
        <v>235</v>
      </c>
      <c r="J213" s="1" t="str">
        <f t="shared" si="0"/>
        <v>101010111011</v>
      </c>
    </row>
    <row r="214" spans="1:10" ht="15.75" customHeight="1">
      <c r="A214" s="1">
        <v>213</v>
      </c>
      <c r="B214" s="1" t="s">
        <v>228</v>
      </c>
      <c r="C214" s="1" t="s">
        <v>233</v>
      </c>
      <c r="D214" s="1" t="s">
        <v>229</v>
      </c>
      <c r="E214" s="1" t="s">
        <v>237</v>
      </c>
      <c r="F214" s="1" t="s">
        <v>239</v>
      </c>
      <c r="G214" s="1" t="s">
        <v>232</v>
      </c>
      <c r="H214" s="1" t="s">
        <v>234</v>
      </c>
      <c r="I214" s="1" t="s">
        <v>230</v>
      </c>
      <c r="J214" s="1" t="str">
        <f t="shared" si="0"/>
        <v>101010111101</v>
      </c>
    </row>
    <row r="215" spans="1:10" ht="15.75" customHeight="1">
      <c r="A215" s="1">
        <v>214</v>
      </c>
      <c r="B215" s="1" t="s">
        <v>228</v>
      </c>
      <c r="C215" s="1" t="s">
        <v>233</v>
      </c>
      <c r="D215" s="1" t="s">
        <v>229</v>
      </c>
      <c r="E215" s="1" t="s">
        <v>237</v>
      </c>
      <c r="F215" s="1" t="s">
        <v>239</v>
      </c>
      <c r="G215" s="1" t="s">
        <v>232</v>
      </c>
      <c r="H215" s="1" t="s">
        <v>230</v>
      </c>
      <c r="I215" s="1" t="s">
        <v>235</v>
      </c>
      <c r="J215" s="1" t="str">
        <f t="shared" si="0"/>
        <v>101010111110</v>
      </c>
    </row>
    <row r="216" spans="1:10" ht="15.75" customHeight="1">
      <c r="A216" s="1">
        <v>215</v>
      </c>
      <c r="B216" s="1" t="s">
        <v>228</v>
      </c>
      <c r="C216" s="1" t="s">
        <v>229</v>
      </c>
      <c r="D216" s="1" t="s">
        <v>230</v>
      </c>
      <c r="E216" s="1" t="s">
        <v>237</v>
      </c>
      <c r="F216" s="1" t="s">
        <v>239</v>
      </c>
      <c r="G216" s="1" t="s">
        <v>231</v>
      </c>
      <c r="H216" s="1" t="s">
        <v>234</v>
      </c>
      <c r="I216" s="1" t="s">
        <v>235</v>
      </c>
      <c r="J216" s="1" t="str">
        <f t="shared" si="0"/>
        <v>101011001111</v>
      </c>
    </row>
    <row r="217" spans="1:10" ht="15.75" customHeight="1">
      <c r="A217" s="1">
        <v>216</v>
      </c>
      <c r="B217" s="1" t="s">
        <v>232</v>
      </c>
      <c r="C217" s="1" t="s">
        <v>229</v>
      </c>
      <c r="D217" s="1" t="s">
        <v>228</v>
      </c>
      <c r="E217" s="1" t="s">
        <v>237</v>
      </c>
      <c r="F217" s="1" t="s">
        <v>239</v>
      </c>
      <c r="G217" s="1" t="s">
        <v>231</v>
      </c>
      <c r="H217" s="1" t="s">
        <v>234</v>
      </c>
      <c r="I217" s="1" t="s">
        <v>235</v>
      </c>
      <c r="J217" s="1" t="str">
        <f t="shared" si="0"/>
        <v>101011010111</v>
      </c>
    </row>
    <row r="218" spans="1:10" ht="15.75" customHeight="1">
      <c r="A218" s="1">
        <v>217</v>
      </c>
      <c r="B218" s="1" t="s">
        <v>232</v>
      </c>
      <c r="C218" s="1" t="s">
        <v>228</v>
      </c>
      <c r="D218" s="1" t="s">
        <v>230</v>
      </c>
      <c r="E218" s="1" t="s">
        <v>237</v>
      </c>
      <c r="F218" s="1" t="s">
        <v>239</v>
      </c>
      <c r="G218" s="1" t="s">
        <v>231</v>
      </c>
      <c r="H218" s="1" t="s">
        <v>234</v>
      </c>
      <c r="I218" s="1" t="s">
        <v>235</v>
      </c>
      <c r="J218" s="1" t="str">
        <f t="shared" si="0"/>
        <v>101011011011</v>
      </c>
    </row>
    <row r="219" spans="1:10" ht="15.75" customHeight="1">
      <c r="A219" s="1">
        <v>218</v>
      </c>
      <c r="B219" s="1" t="s">
        <v>232</v>
      </c>
      <c r="C219" s="1" t="s">
        <v>229</v>
      </c>
      <c r="D219" s="1" t="s">
        <v>228</v>
      </c>
      <c r="E219" s="1" t="s">
        <v>237</v>
      </c>
      <c r="F219" s="1" t="s">
        <v>239</v>
      </c>
      <c r="G219" s="1" t="s">
        <v>231</v>
      </c>
      <c r="H219" s="1" t="s">
        <v>234</v>
      </c>
      <c r="I219" s="1" t="s">
        <v>230</v>
      </c>
      <c r="J219" s="1" t="str">
        <f t="shared" si="0"/>
        <v>101011011101</v>
      </c>
    </row>
    <row r="220" spans="1:10" ht="15.75" customHeight="1">
      <c r="A220" s="1">
        <v>219</v>
      </c>
      <c r="B220" s="1" t="s">
        <v>232</v>
      </c>
      <c r="C220" s="1" t="s">
        <v>229</v>
      </c>
      <c r="D220" s="1" t="s">
        <v>228</v>
      </c>
      <c r="E220" s="1" t="s">
        <v>237</v>
      </c>
      <c r="F220" s="1" t="s">
        <v>239</v>
      </c>
      <c r="G220" s="1" t="s">
        <v>231</v>
      </c>
      <c r="H220" s="1" t="s">
        <v>230</v>
      </c>
      <c r="I220" s="1" t="s">
        <v>235</v>
      </c>
      <c r="J220" s="1" t="str">
        <f t="shared" si="0"/>
        <v>101011011110</v>
      </c>
    </row>
    <row r="221" spans="1:10" ht="15.75" customHeight="1">
      <c r="A221" s="1">
        <v>220</v>
      </c>
      <c r="B221" s="1" t="s">
        <v>228</v>
      </c>
      <c r="C221" s="1" t="s">
        <v>233</v>
      </c>
      <c r="D221" s="1" t="s">
        <v>229</v>
      </c>
      <c r="E221" s="1" t="s">
        <v>237</v>
      </c>
      <c r="F221" s="1" t="s">
        <v>239</v>
      </c>
      <c r="G221" s="1" t="s">
        <v>231</v>
      </c>
      <c r="H221" s="1" t="s">
        <v>234</v>
      </c>
      <c r="I221" s="1" t="s">
        <v>235</v>
      </c>
      <c r="J221" s="1" t="str">
        <f t="shared" si="0"/>
        <v>101011100111</v>
      </c>
    </row>
    <row r="222" spans="1:10" ht="15.75" customHeight="1">
      <c r="A222" s="1">
        <v>221</v>
      </c>
      <c r="B222" s="1" t="s">
        <v>228</v>
      </c>
      <c r="C222" s="1" t="s">
        <v>233</v>
      </c>
      <c r="D222" s="1" t="s">
        <v>230</v>
      </c>
      <c r="E222" s="1" t="s">
        <v>237</v>
      </c>
      <c r="F222" s="1" t="s">
        <v>239</v>
      </c>
      <c r="G222" s="1" t="s">
        <v>231</v>
      </c>
      <c r="H222" s="1" t="s">
        <v>234</v>
      </c>
      <c r="I222" s="1" t="s">
        <v>235</v>
      </c>
      <c r="J222" s="1" t="str">
        <f t="shared" si="0"/>
        <v>101011101011</v>
      </c>
    </row>
    <row r="223" spans="1:10" ht="15.75" customHeight="1">
      <c r="A223" s="1">
        <v>222</v>
      </c>
      <c r="B223" s="1" t="s">
        <v>228</v>
      </c>
      <c r="C223" s="1" t="s">
        <v>233</v>
      </c>
      <c r="D223" s="1" t="s">
        <v>229</v>
      </c>
      <c r="E223" s="1" t="s">
        <v>237</v>
      </c>
      <c r="F223" s="1" t="s">
        <v>239</v>
      </c>
      <c r="G223" s="1" t="s">
        <v>231</v>
      </c>
      <c r="H223" s="1" t="s">
        <v>234</v>
      </c>
      <c r="I223" s="1" t="s">
        <v>230</v>
      </c>
      <c r="J223" s="1" t="str">
        <f t="shared" si="0"/>
        <v>101011101101</v>
      </c>
    </row>
    <row r="224" spans="1:10" ht="15.75" customHeight="1">
      <c r="A224" s="1">
        <v>223</v>
      </c>
      <c r="B224" s="1" t="s">
        <v>228</v>
      </c>
      <c r="C224" s="1" t="s">
        <v>233</v>
      </c>
      <c r="D224" s="1" t="s">
        <v>229</v>
      </c>
      <c r="E224" s="1" t="s">
        <v>237</v>
      </c>
      <c r="F224" s="1" t="s">
        <v>239</v>
      </c>
      <c r="G224" s="1" t="s">
        <v>231</v>
      </c>
      <c r="H224" s="1" t="s">
        <v>230</v>
      </c>
      <c r="I224" s="1" t="s">
        <v>235</v>
      </c>
      <c r="J224" s="1" t="str">
        <f t="shared" si="0"/>
        <v>101011101110</v>
      </c>
    </row>
    <row r="225" spans="1:10" ht="15.75" customHeight="1">
      <c r="A225" s="1">
        <v>224</v>
      </c>
      <c r="B225" s="1" t="s">
        <v>232</v>
      </c>
      <c r="C225" s="1" t="s">
        <v>233</v>
      </c>
      <c r="D225" s="1" t="s">
        <v>228</v>
      </c>
      <c r="E225" s="1" t="s">
        <v>237</v>
      </c>
      <c r="F225" s="1" t="s">
        <v>239</v>
      </c>
      <c r="G225" s="1" t="s">
        <v>231</v>
      </c>
      <c r="H225" s="1" t="s">
        <v>234</v>
      </c>
      <c r="I225" s="1" t="s">
        <v>235</v>
      </c>
      <c r="J225" s="1" t="str">
        <f t="shared" si="0"/>
        <v>101011110011</v>
      </c>
    </row>
    <row r="226" spans="1:10" ht="15.75" customHeight="1">
      <c r="A226" s="1">
        <v>225</v>
      </c>
      <c r="B226" s="1" t="s">
        <v>232</v>
      </c>
      <c r="C226" s="1" t="s">
        <v>233</v>
      </c>
      <c r="D226" s="1" t="s">
        <v>229</v>
      </c>
      <c r="E226" s="1" t="s">
        <v>237</v>
      </c>
      <c r="F226" s="1" t="s">
        <v>239</v>
      </c>
      <c r="G226" s="1" t="s">
        <v>231</v>
      </c>
      <c r="H226" s="1" t="s">
        <v>234</v>
      </c>
      <c r="I226" s="1" t="s">
        <v>228</v>
      </c>
      <c r="J226" s="1" t="str">
        <f t="shared" si="0"/>
        <v>101011110101</v>
      </c>
    </row>
    <row r="227" spans="1:10" ht="15.75" customHeight="1">
      <c r="A227" s="1">
        <v>226</v>
      </c>
      <c r="B227" s="1" t="s">
        <v>232</v>
      </c>
      <c r="C227" s="1" t="s">
        <v>233</v>
      </c>
      <c r="D227" s="1" t="s">
        <v>229</v>
      </c>
      <c r="E227" s="1" t="s">
        <v>237</v>
      </c>
      <c r="F227" s="1" t="s">
        <v>239</v>
      </c>
      <c r="G227" s="1" t="s">
        <v>231</v>
      </c>
      <c r="H227" s="1" t="s">
        <v>228</v>
      </c>
      <c r="I227" s="1" t="s">
        <v>235</v>
      </c>
      <c r="J227" s="1" t="str">
        <f t="shared" si="0"/>
        <v>101011110110</v>
      </c>
    </row>
    <row r="228" spans="1:10" ht="15.75" customHeight="1">
      <c r="A228" s="1">
        <v>227</v>
      </c>
      <c r="B228" s="1" t="s">
        <v>232</v>
      </c>
      <c r="C228" s="1" t="s">
        <v>233</v>
      </c>
      <c r="D228" s="1" t="s">
        <v>228</v>
      </c>
      <c r="E228" s="1" t="s">
        <v>237</v>
      </c>
      <c r="F228" s="1" t="s">
        <v>239</v>
      </c>
      <c r="G228" s="1" t="s">
        <v>231</v>
      </c>
      <c r="H228" s="1" t="s">
        <v>234</v>
      </c>
      <c r="I228" s="1" t="s">
        <v>230</v>
      </c>
      <c r="J228" s="1" t="str">
        <f t="shared" si="0"/>
        <v>101011111001</v>
      </c>
    </row>
    <row r="229" spans="1:10" ht="15.75" customHeight="1">
      <c r="A229" s="1">
        <v>228</v>
      </c>
      <c r="B229" s="1" t="s">
        <v>232</v>
      </c>
      <c r="C229" s="1" t="s">
        <v>233</v>
      </c>
      <c r="D229" s="1" t="s">
        <v>228</v>
      </c>
      <c r="E229" s="1" t="s">
        <v>237</v>
      </c>
      <c r="F229" s="1" t="s">
        <v>239</v>
      </c>
      <c r="G229" s="1" t="s">
        <v>231</v>
      </c>
      <c r="H229" s="1" t="s">
        <v>230</v>
      </c>
      <c r="I229" s="1" t="s">
        <v>235</v>
      </c>
      <c r="J229" s="1" t="str">
        <f t="shared" si="0"/>
        <v>101011111010</v>
      </c>
    </row>
    <row r="230" spans="1:10" ht="15.75" customHeight="1">
      <c r="A230" s="1">
        <v>229</v>
      </c>
      <c r="B230" s="1" t="s">
        <v>232</v>
      </c>
      <c r="C230" s="1" t="s">
        <v>233</v>
      </c>
      <c r="D230" s="1" t="s">
        <v>229</v>
      </c>
      <c r="E230" s="1" t="s">
        <v>237</v>
      </c>
      <c r="F230" s="1" t="s">
        <v>239</v>
      </c>
      <c r="G230" s="1" t="s">
        <v>231</v>
      </c>
      <c r="H230" s="1" t="s">
        <v>228</v>
      </c>
      <c r="I230" s="1" t="s">
        <v>230</v>
      </c>
      <c r="J230" s="1" t="str">
        <f t="shared" si="0"/>
        <v>101011111100</v>
      </c>
    </row>
    <row r="231" spans="1:10" ht="15.75" customHeight="1">
      <c r="A231" s="1">
        <v>230</v>
      </c>
      <c r="B231" s="1" t="s">
        <v>232</v>
      </c>
      <c r="C231" s="1" t="s">
        <v>229</v>
      </c>
      <c r="D231" s="1" t="s">
        <v>230</v>
      </c>
      <c r="E231" s="1" t="s">
        <v>237</v>
      </c>
      <c r="F231" s="1" t="s">
        <v>239</v>
      </c>
      <c r="G231" s="1" t="s">
        <v>236</v>
      </c>
      <c r="H231" s="1" t="s">
        <v>234</v>
      </c>
      <c r="I231" s="1" t="s">
        <v>235</v>
      </c>
      <c r="J231" s="1" t="str">
        <f t="shared" si="0"/>
        <v>101100011111</v>
      </c>
    </row>
    <row r="232" spans="1:10" ht="15.75" customHeight="1">
      <c r="A232" s="1">
        <v>231</v>
      </c>
      <c r="B232" s="1" t="s">
        <v>230</v>
      </c>
      <c r="C232" s="1" t="s">
        <v>233</v>
      </c>
      <c r="D232" s="1" t="s">
        <v>229</v>
      </c>
      <c r="E232" s="1" t="s">
        <v>237</v>
      </c>
      <c r="F232" s="1" t="s">
        <v>239</v>
      </c>
      <c r="G232" s="1" t="s">
        <v>236</v>
      </c>
      <c r="H232" s="1" t="s">
        <v>234</v>
      </c>
      <c r="I232" s="1" t="s">
        <v>235</v>
      </c>
      <c r="J232" s="1" t="str">
        <f t="shared" si="0"/>
        <v>101100101111</v>
      </c>
    </row>
    <row r="233" spans="1:10" ht="15.75" customHeight="1">
      <c r="A233" s="1">
        <v>232</v>
      </c>
      <c r="B233" s="1" t="s">
        <v>232</v>
      </c>
      <c r="C233" s="1" t="s">
        <v>233</v>
      </c>
      <c r="D233" s="1" t="s">
        <v>229</v>
      </c>
      <c r="E233" s="1" t="s">
        <v>237</v>
      </c>
      <c r="F233" s="1" t="s">
        <v>239</v>
      </c>
      <c r="G233" s="1" t="s">
        <v>236</v>
      </c>
      <c r="H233" s="1" t="s">
        <v>234</v>
      </c>
      <c r="I233" s="1" t="s">
        <v>235</v>
      </c>
      <c r="J233" s="1" t="str">
        <f t="shared" si="0"/>
        <v>101100110111</v>
      </c>
    </row>
    <row r="234" spans="1:10" ht="15.75" customHeight="1">
      <c r="A234" s="1">
        <v>233</v>
      </c>
      <c r="B234" s="1" t="s">
        <v>232</v>
      </c>
      <c r="C234" s="1" t="s">
        <v>233</v>
      </c>
      <c r="D234" s="1" t="s">
        <v>230</v>
      </c>
      <c r="E234" s="1" t="s">
        <v>237</v>
      </c>
      <c r="F234" s="1" t="s">
        <v>239</v>
      </c>
      <c r="G234" s="1" t="s">
        <v>236</v>
      </c>
      <c r="H234" s="1" t="s">
        <v>234</v>
      </c>
      <c r="I234" s="1" t="s">
        <v>235</v>
      </c>
      <c r="J234" s="1" t="str">
        <f t="shared" si="0"/>
        <v>101100111011</v>
      </c>
    </row>
    <row r="235" spans="1:10" ht="15.75" customHeight="1">
      <c r="A235" s="1">
        <v>234</v>
      </c>
      <c r="B235" s="1" t="s">
        <v>232</v>
      </c>
      <c r="C235" s="1" t="s">
        <v>233</v>
      </c>
      <c r="D235" s="1" t="s">
        <v>229</v>
      </c>
      <c r="E235" s="1" t="s">
        <v>237</v>
      </c>
      <c r="F235" s="1" t="s">
        <v>239</v>
      </c>
      <c r="G235" s="1" t="s">
        <v>236</v>
      </c>
      <c r="H235" s="1" t="s">
        <v>234</v>
      </c>
      <c r="I235" s="1" t="s">
        <v>230</v>
      </c>
      <c r="J235" s="1" t="str">
        <f t="shared" si="0"/>
        <v>101100111101</v>
      </c>
    </row>
    <row r="236" spans="1:10" ht="15.75" customHeight="1">
      <c r="A236" s="1">
        <v>235</v>
      </c>
      <c r="B236" s="1" t="s">
        <v>232</v>
      </c>
      <c r="C236" s="1" t="s">
        <v>233</v>
      </c>
      <c r="D236" s="1" t="s">
        <v>229</v>
      </c>
      <c r="E236" s="1" t="s">
        <v>237</v>
      </c>
      <c r="F236" s="1" t="s">
        <v>239</v>
      </c>
      <c r="G236" s="1" t="s">
        <v>236</v>
      </c>
      <c r="H236" s="1" t="s">
        <v>230</v>
      </c>
      <c r="I236" s="1" t="s">
        <v>235</v>
      </c>
      <c r="J236" s="1" t="str">
        <f t="shared" si="0"/>
        <v>101100111110</v>
      </c>
    </row>
    <row r="237" spans="1:10" ht="15.75" customHeight="1">
      <c r="A237" s="1">
        <v>236</v>
      </c>
      <c r="B237" s="1" t="s">
        <v>237</v>
      </c>
      <c r="C237" s="1" t="s">
        <v>229</v>
      </c>
      <c r="D237" s="1" t="s">
        <v>230</v>
      </c>
      <c r="E237" s="1" t="s">
        <v>236</v>
      </c>
      <c r="F237" s="1" t="s">
        <v>239</v>
      </c>
      <c r="G237" s="1" t="s">
        <v>231</v>
      </c>
      <c r="H237" s="1" t="s">
        <v>234</v>
      </c>
      <c r="I237" s="1" t="s">
        <v>235</v>
      </c>
      <c r="J237" s="1" t="str">
        <f t="shared" si="0"/>
        <v>101101001111</v>
      </c>
    </row>
    <row r="238" spans="1:10" ht="15.75" customHeight="1">
      <c r="A238" s="1">
        <v>237</v>
      </c>
      <c r="B238" s="1" t="s">
        <v>232</v>
      </c>
      <c r="C238" s="1" t="s">
        <v>229</v>
      </c>
      <c r="D238" s="1" t="s">
        <v>231</v>
      </c>
      <c r="E238" s="1" t="s">
        <v>237</v>
      </c>
      <c r="F238" s="1" t="s">
        <v>239</v>
      </c>
      <c r="G238" s="1" t="s">
        <v>236</v>
      </c>
      <c r="H238" s="1" t="s">
        <v>234</v>
      </c>
      <c r="I238" s="1" t="s">
        <v>235</v>
      </c>
      <c r="J238" s="1" t="str">
        <f t="shared" si="0"/>
        <v>101101010111</v>
      </c>
    </row>
    <row r="239" spans="1:10" ht="15.75" customHeight="1">
      <c r="A239" s="1">
        <v>238</v>
      </c>
      <c r="B239" s="1" t="s">
        <v>232</v>
      </c>
      <c r="C239" s="1" t="s">
        <v>231</v>
      </c>
      <c r="D239" s="1" t="s">
        <v>230</v>
      </c>
      <c r="E239" s="1" t="s">
        <v>237</v>
      </c>
      <c r="F239" s="1" t="s">
        <v>239</v>
      </c>
      <c r="G239" s="1" t="s">
        <v>236</v>
      </c>
      <c r="H239" s="1" t="s">
        <v>234</v>
      </c>
      <c r="I239" s="1" t="s">
        <v>235</v>
      </c>
      <c r="J239" s="1" t="str">
        <f t="shared" si="0"/>
        <v>101101011011</v>
      </c>
    </row>
    <row r="240" spans="1:10" ht="15.75" customHeight="1">
      <c r="A240" s="1">
        <v>239</v>
      </c>
      <c r="B240" s="1" t="s">
        <v>232</v>
      </c>
      <c r="C240" s="1" t="s">
        <v>229</v>
      </c>
      <c r="D240" s="1" t="s">
        <v>231</v>
      </c>
      <c r="E240" s="1" t="s">
        <v>237</v>
      </c>
      <c r="F240" s="1" t="s">
        <v>239</v>
      </c>
      <c r="G240" s="1" t="s">
        <v>236</v>
      </c>
      <c r="H240" s="1" t="s">
        <v>234</v>
      </c>
      <c r="I240" s="1" t="s">
        <v>230</v>
      </c>
      <c r="J240" s="1" t="str">
        <f t="shared" si="0"/>
        <v>101101011101</v>
      </c>
    </row>
    <row r="241" spans="1:10" ht="15.75" customHeight="1">
      <c r="A241" s="1">
        <v>240</v>
      </c>
      <c r="B241" s="1" t="s">
        <v>232</v>
      </c>
      <c r="C241" s="1" t="s">
        <v>229</v>
      </c>
      <c r="D241" s="1" t="s">
        <v>231</v>
      </c>
      <c r="E241" s="1" t="s">
        <v>237</v>
      </c>
      <c r="F241" s="1" t="s">
        <v>239</v>
      </c>
      <c r="G241" s="1" t="s">
        <v>236</v>
      </c>
      <c r="H241" s="1" t="s">
        <v>230</v>
      </c>
      <c r="I241" s="1" t="s">
        <v>235</v>
      </c>
      <c r="J241" s="1" t="str">
        <f t="shared" si="0"/>
        <v>101101011110</v>
      </c>
    </row>
    <row r="242" spans="1:10" ht="15.75" customHeight="1">
      <c r="A242" s="1">
        <v>241</v>
      </c>
      <c r="B242" s="1" t="s">
        <v>237</v>
      </c>
      <c r="C242" s="1" t="s">
        <v>233</v>
      </c>
      <c r="D242" s="1" t="s">
        <v>229</v>
      </c>
      <c r="E242" s="1" t="s">
        <v>236</v>
      </c>
      <c r="F242" s="1" t="s">
        <v>239</v>
      </c>
      <c r="G242" s="1" t="s">
        <v>231</v>
      </c>
      <c r="H242" s="1" t="s">
        <v>234</v>
      </c>
      <c r="I242" s="1" t="s">
        <v>235</v>
      </c>
      <c r="J242" s="1" t="str">
        <f t="shared" si="0"/>
        <v>101101100111</v>
      </c>
    </row>
    <row r="243" spans="1:10" ht="15.75" customHeight="1">
      <c r="A243" s="1">
        <v>242</v>
      </c>
      <c r="B243" s="1" t="s">
        <v>237</v>
      </c>
      <c r="C243" s="1" t="s">
        <v>233</v>
      </c>
      <c r="D243" s="1" t="s">
        <v>230</v>
      </c>
      <c r="E243" s="1" t="s">
        <v>236</v>
      </c>
      <c r="F243" s="1" t="s">
        <v>239</v>
      </c>
      <c r="G243" s="1" t="s">
        <v>231</v>
      </c>
      <c r="H243" s="1" t="s">
        <v>234</v>
      </c>
      <c r="I243" s="1" t="s">
        <v>235</v>
      </c>
      <c r="J243" s="1" t="str">
        <f t="shared" si="0"/>
        <v>101101101011</v>
      </c>
    </row>
    <row r="244" spans="1:10" ht="15.75" customHeight="1">
      <c r="A244" s="1">
        <v>243</v>
      </c>
      <c r="B244" s="1" t="s">
        <v>237</v>
      </c>
      <c r="C244" s="1" t="s">
        <v>233</v>
      </c>
      <c r="D244" s="1" t="s">
        <v>229</v>
      </c>
      <c r="E244" s="1" t="s">
        <v>236</v>
      </c>
      <c r="F244" s="1" t="s">
        <v>239</v>
      </c>
      <c r="G244" s="1" t="s">
        <v>231</v>
      </c>
      <c r="H244" s="1" t="s">
        <v>234</v>
      </c>
      <c r="I244" s="1" t="s">
        <v>230</v>
      </c>
      <c r="J244" s="1" t="str">
        <f t="shared" si="0"/>
        <v>101101101101</v>
      </c>
    </row>
    <row r="245" spans="1:10" ht="15.75" customHeight="1">
      <c r="A245" s="1">
        <v>244</v>
      </c>
      <c r="B245" s="1" t="s">
        <v>237</v>
      </c>
      <c r="C245" s="1" t="s">
        <v>233</v>
      </c>
      <c r="D245" s="1" t="s">
        <v>229</v>
      </c>
      <c r="E245" s="1" t="s">
        <v>236</v>
      </c>
      <c r="F245" s="1" t="s">
        <v>239</v>
      </c>
      <c r="G245" s="1" t="s">
        <v>231</v>
      </c>
      <c r="H245" s="1" t="s">
        <v>230</v>
      </c>
      <c r="I245" s="1" t="s">
        <v>235</v>
      </c>
      <c r="J245" s="1" t="str">
        <f t="shared" si="0"/>
        <v>101101101110</v>
      </c>
    </row>
    <row r="246" spans="1:10" ht="15.75" customHeight="1">
      <c r="A246" s="1">
        <v>245</v>
      </c>
      <c r="B246" s="1" t="s">
        <v>232</v>
      </c>
      <c r="C246" s="1" t="s">
        <v>233</v>
      </c>
      <c r="D246" s="1" t="s">
        <v>231</v>
      </c>
      <c r="E246" s="1" t="s">
        <v>237</v>
      </c>
      <c r="F246" s="1" t="s">
        <v>239</v>
      </c>
      <c r="G246" s="1" t="s">
        <v>236</v>
      </c>
      <c r="H246" s="1" t="s">
        <v>234</v>
      </c>
      <c r="I246" s="1" t="s">
        <v>235</v>
      </c>
      <c r="J246" s="1" t="str">
        <f t="shared" si="0"/>
        <v>101101110011</v>
      </c>
    </row>
    <row r="247" spans="1:10" ht="15.75" customHeight="1">
      <c r="A247" s="1">
        <v>246</v>
      </c>
      <c r="B247" s="1" t="s">
        <v>237</v>
      </c>
      <c r="C247" s="1" t="s">
        <v>233</v>
      </c>
      <c r="D247" s="1" t="s">
        <v>229</v>
      </c>
      <c r="E247" s="1" t="s">
        <v>236</v>
      </c>
      <c r="F247" s="1" t="s">
        <v>239</v>
      </c>
      <c r="G247" s="1" t="s">
        <v>231</v>
      </c>
      <c r="H247" s="1" t="s">
        <v>234</v>
      </c>
      <c r="I247" s="1" t="s">
        <v>232</v>
      </c>
      <c r="J247" s="1" t="str">
        <f t="shared" si="0"/>
        <v>101101110101</v>
      </c>
    </row>
    <row r="248" spans="1:10" ht="15.75" customHeight="1">
      <c r="A248" s="1">
        <v>247</v>
      </c>
      <c r="B248" s="1" t="s">
        <v>232</v>
      </c>
      <c r="C248" s="1" t="s">
        <v>233</v>
      </c>
      <c r="D248" s="1" t="s">
        <v>229</v>
      </c>
      <c r="E248" s="1" t="s">
        <v>237</v>
      </c>
      <c r="F248" s="1" t="s">
        <v>239</v>
      </c>
      <c r="G248" s="1" t="s">
        <v>231</v>
      </c>
      <c r="H248" s="1" t="s">
        <v>236</v>
      </c>
      <c r="I248" s="1" t="s">
        <v>235</v>
      </c>
      <c r="J248" s="1" t="str">
        <f t="shared" si="0"/>
        <v>101101110110</v>
      </c>
    </row>
    <row r="249" spans="1:10" ht="15.75" customHeight="1">
      <c r="A249" s="1">
        <v>248</v>
      </c>
      <c r="B249" s="1" t="s">
        <v>232</v>
      </c>
      <c r="C249" s="1" t="s">
        <v>233</v>
      </c>
      <c r="D249" s="1" t="s">
        <v>231</v>
      </c>
      <c r="E249" s="1" t="s">
        <v>237</v>
      </c>
      <c r="F249" s="1" t="s">
        <v>239</v>
      </c>
      <c r="G249" s="1" t="s">
        <v>236</v>
      </c>
      <c r="H249" s="1" t="s">
        <v>234</v>
      </c>
      <c r="I249" s="1" t="s">
        <v>230</v>
      </c>
      <c r="J249" s="1" t="str">
        <f t="shared" si="0"/>
        <v>101101111001</v>
      </c>
    </row>
    <row r="250" spans="1:10" ht="15.75" customHeight="1">
      <c r="A250" s="1">
        <v>249</v>
      </c>
      <c r="B250" s="1" t="s">
        <v>232</v>
      </c>
      <c r="C250" s="1" t="s">
        <v>233</v>
      </c>
      <c r="D250" s="1" t="s">
        <v>231</v>
      </c>
      <c r="E250" s="1" t="s">
        <v>237</v>
      </c>
      <c r="F250" s="1" t="s">
        <v>239</v>
      </c>
      <c r="G250" s="1" t="s">
        <v>236</v>
      </c>
      <c r="H250" s="1" t="s">
        <v>230</v>
      </c>
      <c r="I250" s="1" t="s">
        <v>235</v>
      </c>
      <c r="J250" s="1" t="str">
        <f t="shared" si="0"/>
        <v>101101111010</v>
      </c>
    </row>
    <row r="251" spans="1:10" ht="15.75" customHeight="1">
      <c r="A251" s="1">
        <v>250</v>
      </c>
      <c r="B251" s="1" t="s">
        <v>232</v>
      </c>
      <c r="C251" s="1" t="s">
        <v>233</v>
      </c>
      <c r="D251" s="1" t="s">
        <v>229</v>
      </c>
      <c r="E251" s="1" t="s">
        <v>237</v>
      </c>
      <c r="F251" s="1" t="s">
        <v>239</v>
      </c>
      <c r="G251" s="1" t="s">
        <v>231</v>
      </c>
      <c r="H251" s="1" t="s">
        <v>236</v>
      </c>
      <c r="I251" s="1" t="s">
        <v>230</v>
      </c>
      <c r="J251" s="1" t="str">
        <f t="shared" si="0"/>
        <v>101101111100</v>
      </c>
    </row>
    <row r="252" spans="1:10" ht="15.75" customHeight="1">
      <c r="A252" s="1">
        <v>251</v>
      </c>
      <c r="B252" s="1" t="s">
        <v>228</v>
      </c>
      <c r="C252" s="1" t="s">
        <v>229</v>
      </c>
      <c r="D252" s="1" t="s">
        <v>230</v>
      </c>
      <c r="E252" s="1" t="s">
        <v>237</v>
      </c>
      <c r="F252" s="1" t="s">
        <v>239</v>
      </c>
      <c r="G252" s="1" t="s">
        <v>236</v>
      </c>
      <c r="H252" s="1" t="s">
        <v>234</v>
      </c>
      <c r="I252" s="1" t="s">
        <v>235</v>
      </c>
      <c r="J252" s="1" t="str">
        <f t="shared" si="0"/>
        <v>101110001111</v>
      </c>
    </row>
    <row r="253" spans="1:10" ht="15.75" customHeight="1">
      <c r="A253" s="1">
        <v>252</v>
      </c>
      <c r="B253" s="1" t="s">
        <v>232</v>
      </c>
      <c r="C253" s="1" t="s">
        <v>229</v>
      </c>
      <c r="D253" s="1" t="s">
        <v>228</v>
      </c>
      <c r="E253" s="1" t="s">
        <v>237</v>
      </c>
      <c r="F253" s="1" t="s">
        <v>239</v>
      </c>
      <c r="G253" s="1" t="s">
        <v>236</v>
      </c>
      <c r="H253" s="1" t="s">
        <v>234</v>
      </c>
      <c r="I253" s="1" t="s">
        <v>235</v>
      </c>
      <c r="J253" s="1" t="str">
        <f t="shared" si="0"/>
        <v>101110010111</v>
      </c>
    </row>
    <row r="254" spans="1:10" ht="15.75" customHeight="1">
      <c r="A254" s="1">
        <v>253</v>
      </c>
      <c r="B254" s="1" t="s">
        <v>232</v>
      </c>
      <c r="C254" s="1" t="s">
        <v>228</v>
      </c>
      <c r="D254" s="1" t="s">
        <v>230</v>
      </c>
      <c r="E254" s="1" t="s">
        <v>237</v>
      </c>
      <c r="F254" s="1" t="s">
        <v>239</v>
      </c>
      <c r="G254" s="1" t="s">
        <v>236</v>
      </c>
      <c r="H254" s="1" t="s">
        <v>234</v>
      </c>
      <c r="I254" s="1" t="s">
        <v>235</v>
      </c>
      <c r="J254" s="1" t="str">
        <f t="shared" si="0"/>
        <v>101110011011</v>
      </c>
    </row>
    <row r="255" spans="1:10" ht="15.75" customHeight="1">
      <c r="A255" s="1">
        <v>254</v>
      </c>
      <c r="B255" s="1" t="s">
        <v>232</v>
      </c>
      <c r="C255" s="1" t="s">
        <v>229</v>
      </c>
      <c r="D255" s="1" t="s">
        <v>228</v>
      </c>
      <c r="E255" s="1" t="s">
        <v>237</v>
      </c>
      <c r="F255" s="1" t="s">
        <v>239</v>
      </c>
      <c r="G255" s="1" t="s">
        <v>236</v>
      </c>
      <c r="H255" s="1" t="s">
        <v>234</v>
      </c>
      <c r="I255" s="1" t="s">
        <v>230</v>
      </c>
      <c r="J255" s="1" t="str">
        <f t="shared" si="0"/>
        <v>101110011101</v>
      </c>
    </row>
    <row r="256" spans="1:10" ht="15.75" customHeight="1">
      <c r="A256" s="1">
        <v>255</v>
      </c>
      <c r="B256" s="1" t="s">
        <v>232</v>
      </c>
      <c r="C256" s="1" t="s">
        <v>229</v>
      </c>
      <c r="D256" s="1" t="s">
        <v>228</v>
      </c>
      <c r="E256" s="1" t="s">
        <v>237</v>
      </c>
      <c r="F256" s="1" t="s">
        <v>239</v>
      </c>
      <c r="G256" s="1" t="s">
        <v>236</v>
      </c>
      <c r="H256" s="1" t="s">
        <v>230</v>
      </c>
      <c r="I256" s="1" t="s">
        <v>235</v>
      </c>
      <c r="J256" s="1" t="str">
        <f t="shared" si="0"/>
        <v>101110011110</v>
      </c>
    </row>
    <row r="257" spans="1:10" ht="15.75" customHeight="1">
      <c r="A257" s="1">
        <v>256</v>
      </c>
      <c r="B257" s="1" t="s">
        <v>228</v>
      </c>
      <c r="C257" s="1" t="s">
        <v>233</v>
      </c>
      <c r="D257" s="1" t="s">
        <v>229</v>
      </c>
      <c r="E257" s="1" t="s">
        <v>237</v>
      </c>
      <c r="F257" s="1" t="s">
        <v>239</v>
      </c>
      <c r="G257" s="1" t="s">
        <v>236</v>
      </c>
      <c r="H257" s="1" t="s">
        <v>234</v>
      </c>
      <c r="I257" s="1" t="s">
        <v>235</v>
      </c>
      <c r="J257" s="1" t="str">
        <f t="shared" ref="J257:J496" si="1">COUNTIF($B257:$I257,"*A") &amp; COUNTIF($B257:$I257,"*B") &amp; COUNTIF($B257:$I257,"*C") &amp; COUNTIF($B257:$I257,"*D") &amp; COUNTIF($B257:$I257,"*E") &amp; COUNTIF($B257:$I257,"*F") &amp; COUNTIF($B257:$I257,"*G") &amp; COUNTIF($B257:$I257,"*H") &amp; COUNTIF($B257:$I257,"*I") &amp; COUNTIF($B257:$I257,"*J") &amp; COUNTIF($B257:$I257,"*K") &amp; COUNTIF($B257:$I257,"*L")</f>
        <v>101110100111</v>
      </c>
    </row>
    <row r="258" spans="1:10" ht="15.75" customHeight="1">
      <c r="A258" s="1">
        <v>257</v>
      </c>
      <c r="B258" s="1" t="s">
        <v>228</v>
      </c>
      <c r="C258" s="1" t="s">
        <v>233</v>
      </c>
      <c r="D258" s="1" t="s">
        <v>230</v>
      </c>
      <c r="E258" s="1" t="s">
        <v>237</v>
      </c>
      <c r="F258" s="1" t="s">
        <v>239</v>
      </c>
      <c r="G258" s="1" t="s">
        <v>236</v>
      </c>
      <c r="H258" s="1" t="s">
        <v>234</v>
      </c>
      <c r="I258" s="1" t="s">
        <v>235</v>
      </c>
      <c r="J258" s="1" t="str">
        <f t="shared" si="1"/>
        <v>101110101011</v>
      </c>
    </row>
    <row r="259" spans="1:10" ht="15.75" customHeight="1">
      <c r="A259" s="1">
        <v>258</v>
      </c>
      <c r="B259" s="1" t="s">
        <v>228</v>
      </c>
      <c r="C259" s="1" t="s">
        <v>233</v>
      </c>
      <c r="D259" s="1" t="s">
        <v>229</v>
      </c>
      <c r="E259" s="1" t="s">
        <v>237</v>
      </c>
      <c r="F259" s="1" t="s">
        <v>239</v>
      </c>
      <c r="G259" s="1" t="s">
        <v>236</v>
      </c>
      <c r="H259" s="1" t="s">
        <v>234</v>
      </c>
      <c r="I259" s="1" t="s">
        <v>230</v>
      </c>
      <c r="J259" s="1" t="str">
        <f t="shared" si="1"/>
        <v>101110101101</v>
      </c>
    </row>
    <row r="260" spans="1:10" ht="15.75" customHeight="1">
      <c r="A260" s="1">
        <v>259</v>
      </c>
      <c r="B260" s="1" t="s">
        <v>228</v>
      </c>
      <c r="C260" s="1" t="s">
        <v>233</v>
      </c>
      <c r="D260" s="1" t="s">
        <v>229</v>
      </c>
      <c r="E260" s="1" t="s">
        <v>237</v>
      </c>
      <c r="F260" s="1" t="s">
        <v>239</v>
      </c>
      <c r="G260" s="1" t="s">
        <v>236</v>
      </c>
      <c r="H260" s="1" t="s">
        <v>230</v>
      </c>
      <c r="I260" s="1" t="s">
        <v>235</v>
      </c>
      <c r="J260" s="1" t="str">
        <f t="shared" si="1"/>
        <v>101110101110</v>
      </c>
    </row>
    <row r="261" spans="1:10" ht="15.75" customHeight="1">
      <c r="A261" s="1">
        <v>260</v>
      </c>
      <c r="B261" s="1" t="s">
        <v>232</v>
      </c>
      <c r="C261" s="1" t="s">
        <v>233</v>
      </c>
      <c r="D261" s="1" t="s">
        <v>228</v>
      </c>
      <c r="E261" s="1" t="s">
        <v>237</v>
      </c>
      <c r="F261" s="1" t="s">
        <v>239</v>
      </c>
      <c r="G261" s="1" t="s">
        <v>236</v>
      </c>
      <c r="H261" s="1" t="s">
        <v>234</v>
      </c>
      <c r="I261" s="1" t="s">
        <v>235</v>
      </c>
      <c r="J261" s="1" t="str">
        <f t="shared" si="1"/>
        <v>101110110011</v>
      </c>
    </row>
    <row r="262" spans="1:10" ht="15.75" customHeight="1">
      <c r="A262" s="1">
        <v>261</v>
      </c>
      <c r="B262" s="1" t="s">
        <v>232</v>
      </c>
      <c r="C262" s="1" t="s">
        <v>233</v>
      </c>
      <c r="D262" s="1" t="s">
        <v>229</v>
      </c>
      <c r="E262" s="1" t="s">
        <v>237</v>
      </c>
      <c r="F262" s="1" t="s">
        <v>239</v>
      </c>
      <c r="G262" s="1" t="s">
        <v>236</v>
      </c>
      <c r="H262" s="1" t="s">
        <v>234</v>
      </c>
      <c r="I262" s="1" t="s">
        <v>228</v>
      </c>
      <c r="J262" s="1" t="str">
        <f t="shared" si="1"/>
        <v>101110110101</v>
      </c>
    </row>
    <row r="263" spans="1:10" ht="15.75" customHeight="1">
      <c r="A263" s="1">
        <v>262</v>
      </c>
      <c r="B263" s="1" t="s">
        <v>232</v>
      </c>
      <c r="C263" s="1" t="s">
        <v>233</v>
      </c>
      <c r="D263" s="1" t="s">
        <v>229</v>
      </c>
      <c r="E263" s="1" t="s">
        <v>237</v>
      </c>
      <c r="F263" s="1" t="s">
        <v>239</v>
      </c>
      <c r="G263" s="1" t="s">
        <v>236</v>
      </c>
      <c r="H263" s="1" t="s">
        <v>228</v>
      </c>
      <c r="I263" s="1" t="s">
        <v>235</v>
      </c>
      <c r="J263" s="1" t="str">
        <f t="shared" si="1"/>
        <v>101110110110</v>
      </c>
    </row>
    <row r="264" spans="1:10" ht="15.75" customHeight="1">
      <c r="A264" s="1">
        <v>263</v>
      </c>
      <c r="B264" s="1" t="s">
        <v>232</v>
      </c>
      <c r="C264" s="1" t="s">
        <v>233</v>
      </c>
      <c r="D264" s="1" t="s">
        <v>228</v>
      </c>
      <c r="E264" s="1" t="s">
        <v>237</v>
      </c>
      <c r="F264" s="1" t="s">
        <v>239</v>
      </c>
      <c r="G264" s="1" t="s">
        <v>236</v>
      </c>
      <c r="H264" s="1" t="s">
        <v>234</v>
      </c>
      <c r="I264" s="1" t="s">
        <v>230</v>
      </c>
      <c r="J264" s="1" t="str">
        <f t="shared" si="1"/>
        <v>101110111001</v>
      </c>
    </row>
    <row r="265" spans="1:10" ht="15.75" customHeight="1">
      <c r="A265" s="1">
        <v>264</v>
      </c>
      <c r="B265" s="1" t="s">
        <v>232</v>
      </c>
      <c r="C265" s="1" t="s">
        <v>233</v>
      </c>
      <c r="D265" s="1" t="s">
        <v>228</v>
      </c>
      <c r="E265" s="1" t="s">
        <v>237</v>
      </c>
      <c r="F265" s="1" t="s">
        <v>239</v>
      </c>
      <c r="G265" s="1" t="s">
        <v>236</v>
      </c>
      <c r="H265" s="1" t="s">
        <v>230</v>
      </c>
      <c r="I265" s="1" t="s">
        <v>235</v>
      </c>
      <c r="J265" s="1" t="str">
        <f t="shared" si="1"/>
        <v>101110111010</v>
      </c>
    </row>
    <row r="266" spans="1:10" ht="15.75" customHeight="1">
      <c r="A266" s="1">
        <v>265</v>
      </c>
      <c r="B266" s="1" t="s">
        <v>232</v>
      </c>
      <c r="C266" s="1" t="s">
        <v>233</v>
      </c>
      <c r="D266" s="1" t="s">
        <v>229</v>
      </c>
      <c r="E266" s="1" t="s">
        <v>237</v>
      </c>
      <c r="F266" s="1" t="s">
        <v>239</v>
      </c>
      <c r="G266" s="1" t="s">
        <v>236</v>
      </c>
      <c r="H266" s="1" t="s">
        <v>228</v>
      </c>
      <c r="I266" s="1" t="s">
        <v>230</v>
      </c>
      <c r="J266" s="1" t="str">
        <f t="shared" si="1"/>
        <v>101110111100</v>
      </c>
    </row>
    <row r="267" spans="1:10" ht="15.75" customHeight="1">
      <c r="A267" s="1">
        <v>266</v>
      </c>
      <c r="B267" s="1" t="s">
        <v>237</v>
      </c>
      <c r="C267" s="1" t="s">
        <v>229</v>
      </c>
      <c r="D267" s="1" t="s">
        <v>228</v>
      </c>
      <c r="E267" s="1" t="s">
        <v>236</v>
      </c>
      <c r="F267" s="1" t="s">
        <v>239</v>
      </c>
      <c r="G267" s="1" t="s">
        <v>231</v>
      </c>
      <c r="H267" s="1" t="s">
        <v>234</v>
      </c>
      <c r="I267" s="1" t="s">
        <v>235</v>
      </c>
      <c r="J267" s="1" t="str">
        <f t="shared" si="1"/>
        <v>101111000111</v>
      </c>
    </row>
    <row r="268" spans="1:10" ht="15.75" customHeight="1">
      <c r="A268" s="1">
        <v>267</v>
      </c>
      <c r="B268" s="1" t="s">
        <v>237</v>
      </c>
      <c r="C268" s="1" t="s">
        <v>228</v>
      </c>
      <c r="D268" s="1" t="s">
        <v>230</v>
      </c>
      <c r="E268" s="1" t="s">
        <v>236</v>
      </c>
      <c r="F268" s="1" t="s">
        <v>239</v>
      </c>
      <c r="G268" s="1" t="s">
        <v>231</v>
      </c>
      <c r="H268" s="1" t="s">
        <v>234</v>
      </c>
      <c r="I268" s="1" t="s">
        <v>235</v>
      </c>
      <c r="J268" s="1" t="str">
        <f t="shared" si="1"/>
        <v>101111001011</v>
      </c>
    </row>
    <row r="269" spans="1:10" ht="15.75" customHeight="1">
      <c r="A269" s="1">
        <v>268</v>
      </c>
      <c r="B269" s="1" t="s">
        <v>237</v>
      </c>
      <c r="C269" s="1" t="s">
        <v>229</v>
      </c>
      <c r="D269" s="1" t="s">
        <v>228</v>
      </c>
      <c r="E269" s="1" t="s">
        <v>236</v>
      </c>
      <c r="F269" s="1" t="s">
        <v>239</v>
      </c>
      <c r="G269" s="1" t="s">
        <v>231</v>
      </c>
      <c r="H269" s="1" t="s">
        <v>234</v>
      </c>
      <c r="I269" s="1" t="s">
        <v>230</v>
      </c>
      <c r="J269" s="1" t="str">
        <f t="shared" si="1"/>
        <v>101111001101</v>
      </c>
    </row>
    <row r="270" spans="1:10" ht="15.75" customHeight="1">
      <c r="A270" s="1">
        <v>269</v>
      </c>
      <c r="B270" s="1" t="s">
        <v>237</v>
      </c>
      <c r="C270" s="1" t="s">
        <v>229</v>
      </c>
      <c r="D270" s="1" t="s">
        <v>228</v>
      </c>
      <c r="E270" s="1" t="s">
        <v>236</v>
      </c>
      <c r="F270" s="1" t="s">
        <v>239</v>
      </c>
      <c r="G270" s="1" t="s">
        <v>231</v>
      </c>
      <c r="H270" s="1" t="s">
        <v>230</v>
      </c>
      <c r="I270" s="1" t="s">
        <v>235</v>
      </c>
      <c r="J270" s="1" t="str">
        <f t="shared" si="1"/>
        <v>101111001110</v>
      </c>
    </row>
    <row r="271" spans="1:10" ht="15.75" customHeight="1">
      <c r="A271" s="1">
        <v>270</v>
      </c>
      <c r="B271" s="1" t="s">
        <v>232</v>
      </c>
      <c r="C271" s="1" t="s">
        <v>228</v>
      </c>
      <c r="D271" s="1" t="s">
        <v>231</v>
      </c>
      <c r="E271" s="1" t="s">
        <v>237</v>
      </c>
      <c r="F271" s="1" t="s">
        <v>239</v>
      </c>
      <c r="G271" s="1" t="s">
        <v>236</v>
      </c>
      <c r="H271" s="1" t="s">
        <v>234</v>
      </c>
      <c r="I271" s="1" t="s">
        <v>235</v>
      </c>
      <c r="J271" s="1" t="str">
        <f t="shared" si="1"/>
        <v>101111010011</v>
      </c>
    </row>
    <row r="272" spans="1:10" ht="15.75" customHeight="1">
      <c r="A272" s="1">
        <v>271</v>
      </c>
      <c r="B272" s="1" t="s">
        <v>232</v>
      </c>
      <c r="C272" s="1" t="s">
        <v>229</v>
      </c>
      <c r="D272" s="1" t="s">
        <v>231</v>
      </c>
      <c r="E272" s="1" t="s">
        <v>237</v>
      </c>
      <c r="F272" s="1" t="s">
        <v>239</v>
      </c>
      <c r="G272" s="1" t="s">
        <v>236</v>
      </c>
      <c r="H272" s="1" t="s">
        <v>234</v>
      </c>
      <c r="I272" s="1" t="s">
        <v>228</v>
      </c>
      <c r="J272" s="1" t="str">
        <f t="shared" si="1"/>
        <v>101111010101</v>
      </c>
    </row>
    <row r="273" spans="1:10" ht="15.75" customHeight="1">
      <c r="A273" s="1">
        <v>272</v>
      </c>
      <c r="B273" s="1" t="s">
        <v>232</v>
      </c>
      <c r="C273" s="1" t="s">
        <v>229</v>
      </c>
      <c r="D273" s="1" t="s">
        <v>228</v>
      </c>
      <c r="E273" s="1" t="s">
        <v>237</v>
      </c>
      <c r="F273" s="1" t="s">
        <v>239</v>
      </c>
      <c r="G273" s="1" t="s">
        <v>231</v>
      </c>
      <c r="H273" s="1" t="s">
        <v>236</v>
      </c>
      <c r="I273" s="1" t="s">
        <v>235</v>
      </c>
      <c r="J273" s="1" t="str">
        <f t="shared" si="1"/>
        <v>101111010110</v>
      </c>
    </row>
    <row r="274" spans="1:10" ht="15.75" customHeight="1">
      <c r="A274" s="1">
        <v>273</v>
      </c>
      <c r="B274" s="1" t="s">
        <v>232</v>
      </c>
      <c r="C274" s="1" t="s">
        <v>228</v>
      </c>
      <c r="D274" s="1" t="s">
        <v>231</v>
      </c>
      <c r="E274" s="1" t="s">
        <v>237</v>
      </c>
      <c r="F274" s="1" t="s">
        <v>239</v>
      </c>
      <c r="G274" s="1" t="s">
        <v>236</v>
      </c>
      <c r="H274" s="1" t="s">
        <v>234</v>
      </c>
      <c r="I274" s="1" t="s">
        <v>230</v>
      </c>
      <c r="J274" s="1" t="str">
        <f t="shared" si="1"/>
        <v>101111011001</v>
      </c>
    </row>
    <row r="275" spans="1:10" ht="15.75" customHeight="1">
      <c r="A275" s="1">
        <v>274</v>
      </c>
      <c r="B275" s="1" t="s">
        <v>232</v>
      </c>
      <c r="C275" s="1" t="s">
        <v>228</v>
      </c>
      <c r="D275" s="1" t="s">
        <v>231</v>
      </c>
      <c r="E275" s="1" t="s">
        <v>237</v>
      </c>
      <c r="F275" s="1" t="s">
        <v>239</v>
      </c>
      <c r="G275" s="1" t="s">
        <v>236</v>
      </c>
      <c r="H275" s="1" t="s">
        <v>230</v>
      </c>
      <c r="I275" s="1" t="s">
        <v>235</v>
      </c>
      <c r="J275" s="1" t="str">
        <f t="shared" si="1"/>
        <v>101111011010</v>
      </c>
    </row>
    <row r="276" spans="1:10" ht="15.75" customHeight="1">
      <c r="A276" s="1">
        <v>275</v>
      </c>
      <c r="B276" s="1" t="s">
        <v>232</v>
      </c>
      <c r="C276" s="1" t="s">
        <v>229</v>
      </c>
      <c r="D276" s="1" t="s">
        <v>228</v>
      </c>
      <c r="E276" s="1" t="s">
        <v>237</v>
      </c>
      <c r="F276" s="1" t="s">
        <v>239</v>
      </c>
      <c r="G276" s="1" t="s">
        <v>231</v>
      </c>
      <c r="H276" s="1" t="s">
        <v>236</v>
      </c>
      <c r="I276" s="1" t="s">
        <v>230</v>
      </c>
      <c r="J276" s="1" t="str">
        <f t="shared" si="1"/>
        <v>101111011100</v>
      </c>
    </row>
    <row r="277" spans="1:10" ht="15.75" customHeight="1">
      <c r="A277" s="1">
        <v>276</v>
      </c>
      <c r="B277" s="1" t="s">
        <v>237</v>
      </c>
      <c r="C277" s="1" t="s">
        <v>233</v>
      </c>
      <c r="D277" s="1" t="s">
        <v>228</v>
      </c>
      <c r="E277" s="1" t="s">
        <v>236</v>
      </c>
      <c r="F277" s="1" t="s">
        <v>239</v>
      </c>
      <c r="G277" s="1" t="s">
        <v>231</v>
      </c>
      <c r="H277" s="1" t="s">
        <v>234</v>
      </c>
      <c r="I277" s="1" t="s">
        <v>235</v>
      </c>
      <c r="J277" s="1" t="str">
        <f t="shared" si="1"/>
        <v>101111100011</v>
      </c>
    </row>
    <row r="278" spans="1:10" ht="15.75" customHeight="1">
      <c r="A278" s="1">
        <v>277</v>
      </c>
      <c r="B278" s="1" t="s">
        <v>237</v>
      </c>
      <c r="C278" s="1" t="s">
        <v>233</v>
      </c>
      <c r="D278" s="1" t="s">
        <v>229</v>
      </c>
      <c r="E278" s="1" t="s">
        <v>236</v>
      </c>
      <c r="F278" s="1" t="s">
        <v>239</v>
      </c>
      <c r="G278" s="1" t="s">
        <v>231</v>
      </c>
      <c r="H278" s="1" t="s">
        <v>234</v>
      </c>
      <c r="I278" s="1" t="s">
        <v>228</v>
      </c>
      <c r="J278" s="1" t="str">
        <f t="shared" si="1"/>
        <v>101111100101</v>
      </c>
    </row>
    <row r="279" spans="1:10" ht="15.75" customHeight="1">
      <c r="A279" s="1">
        <v>278</v>
      </c>
      <c r="B279" s="1" t="s">
        <v>237</v>
      </c>
      <c r="C279" s="1" t="s">
        <v>233</v>
      </c>
      <c r="D279" s="1" t="s">
        <v>229</v>
      </c>
      <c r="E279" s="1" t="s">
        <v>236</v>
      </c>
      <c r="F279" s="1" t="s">
        <v>239</v>
      </c>
      <c r="G279" s="1" t="s">
        <v>231</v>
      </c>
      <c r="H279" s="1" t="s">
        <v>228</v>
      </c>
      <c r="I279" s="1" t="s">
        <v>235</v>
      </c>
      <c r="J279" s="1" t="str">
        <f t="shared" si="1"/>
        <v>101111100110</v>
      </c>
    </row>
    <row r="280" spans="1:10" ht="15.75" customHeight="1">
      <c r="A280" s="1">
        <v>279</v>
      </c>
      <c r="B280" s="1" t="s">
        <v>237</v>
      </c>
      <c r="C280" s="1" t="s">
        <v>233</v>
      </c>
      <c r="D280" s="1" t="s">
        <v>228</v>
      </c>
      <c r="E280" s="1" t="s">
        <v>236</v>
      </c>
      <c r="F280" s="1" t="s">
        <v>239</v>
      </c>
      <c r="G280" s="1" t="s">
        <v>231</v>
      </c>
      <c r="H280" s="1" t="s">
        <v>234</v>
      </c>
      <c r="I280" s="1" t="s">
        <v>230</v>
      </c>
      <c r="J280" s="1" t="str">
        <f t="shared" si="1"/>
        <v>101111101001</v>
      </c>
    </row>
    <row r="281" spans="1:10" ht="15.75" customHeight="1">
      <c r="A281" s="1">
        <v>280</v>
      </c>
      <c r="B281" s="1" t="s">
        <v>237</v>
      </c>
      <c r="C281" s="1" t="s">
        <v>233</v>
      </c>
      <c r="D281" s="1" t="s">
        <v>228</v>
      </c>
      <c r="E281" s="1" t="s">
        <v>236</v>
      </c>
      <c r="F281" s="1" t="s">
        <v>239</v>
      </c>
      <c r="G281" s="1" t="s">
        <v>231</v>
      </c>
      <c r="H281" s="1" t="s">
        <v>230</v>
      </c>
      <c r="I281" s="1" t="s">
        <v>235</v>
      </c>
      <c r="J281" s="1" t="str">
        <f t="shared" si="1"/>
        <v>101111101010</v>
      </c>
    </row>
    <row r="282" spans="1:10" ht="15.75" customHeight="1">
      <c r="A282" s="1">
        <v>281</v>
      </c>
      <c r="B282" s="1" t="s">
        <v>237</v>
      </c>
      <c r="C282" s="1" t="s">
        <v>233</v>
      </c>
      <c r="D282" s="1" t="s">
        <v>229</v>
      </c>
      <c r="E282" s="1" t="s">
        <v>236</v>
      </c>
      <c r="F282" s="1" t="s">
        <v>239</v>
      </c>
      <c r="G282" s="1" t="s">
        <v>231</v>
      </c>
      <c r="H282" s="1" t="s">
        <v>228</v>
      </c>
      <c r="I282" s="1" t="s">
        <v>230</v>
      </c>
      <c r="J282" s="1" t="str">
        <f t="shared" si="1"/>
        <v>101111101100</v>
      </c>
    </row>
    <row r="283" spans="1:10" ht="15.75" customHeight="1">
      <c r="A283" s="1">
        <v>282</v>
      </c>
      <c r="B283" s="1" t="s">
        <v>232</v>
      </c>
      <c r="C283" s="1" t="s">
        <v>233</v>
      </c>
      <c r="D283" s="1" t="s">
        <v>231</v>
      </c>
      <c r="E283" s="1" t="s">
        <v>237</v>
      </c>
      <c r="F283" s="1" t="s">
        <v>239</v>
      </c>
      <c r="G283" s="1" t="s">
        <v>236</v>
      </c>
      <c r="H283" s="1" t="s">
        <v>234</v>
      </c>
      <c r="I283" s="1" t="s">
        <v>228</v>
      </c>
      <c r="J283" s="1" t="str">
        <f t="shared" si="1"/>
        <v>101111110001</v>
      </c>
    </row>
    <row r="284" spans="1:10" ht="15.75" customHeight="1">
      <c r="A284" s="1">
        <v>283</v>
      </c>
      <c r="B284" s="1" t="s">
        <v>232</v>
      </c>
      <c r="C284" s="1" t="s">
        <v>233</v>
      </c>
      <c r="D284" s="1" t="s">
        <v>228</v>
      </c>
      <c r="E284" s="1" t="s">
        <v>237</v>
      </c>
      <c r="F284" s="1" t="s">
        <v>239</v>
      </c>
      <c r="G284" s="1" t="s">
        <v>231</v>
      </c>
      <c r="H284" s="1" t="s">
        <v>236</v>
      </c>
      <c r="I284" s="1" t="s">
        <v>235</v>
      </c>
      <c r="J284" s="1" t="str">
        <f t="shared" si="1"/>
        <v>101111110010</v>
      </c>
    </row>
    <row r="285" spans="1:10" ht="15.75" customHeight="1">
      <c r="A285" s="1">
        <v>284</v>
      </c>
      <c r="B285" s="1" t="s">
        <v>232</v>
      </c>
      <c r="C285" s="1" t="s">
        <v>233</v>
      </c>
      <c r="D285" s="1" t="s">
        <v>229</v>
      </c>
      <c r="E285" s="1" t="s">
        <v>237</v>
      </c>
      <c r="F285" s="1" t="s">
        <v>239</v>
      </c>
      <c r="G285" s="1" t="s">
        <v>231</v>
      </c>
      <c r="H285" s="1" t="s">
        <v>236</v>
      </c>
      <c r="I285" s="1" t="s">
        <v>228</v>
      </c>
      <c r="J285" s="1" t="str">
        <f t="shared" si="1"/>
        <v>101111110100</v>
      </c>
    </row>
    <row r="286" spans="1:10" ht="15.75" customHeight="1">
      <c r="A286" s="1">
        <v>285</v>
      </c>
      <c r="B286" s="1" t="s">
        <v>232</v>
      </c>
      <c r="C286" s="1" t="s">
        <v>233</v>
      </c>
      <c r="D286" s="1" t="s">
        <v>228</v>
      </c>
      <c r="E286" s="1" t="s">
        <v>237</v>
      </c>
      <c r="F286" s="1" t="s">
        <v>239</v>
      </c>
      <c r="G286" s="1" t="s">
        <v>231</v>
      </c>
      <c r="H286" s="1" t="s">
        <v>236</v>
      </c>
      <c r="I286" s="1" t="s">
        <v>230</v>
      </c>
      <c r="J286" s="1" t="str">
        <f t="shared" si="1"/>
        <v>101111111000</v>
      </c>
    </row>
    <row r="287" spans="1:10" ht="15.75" customHeight="1">
      <c r="A287" s="1">
        <v>286</v>
      </c>
      <c r="B287" s="1" t="s">
        <v>232</v>
      </c>
      <c r="C287" s="1" t="s">
        <v>229</v>
      </c>
      <c r="D287" s="1" t="s">
        <v>238</v>
      </c>
      <c r="E287" s="1" t="s">
        <v>239</v>
      </c>
      <c r="F287" s="1" t="s">
        <v>230</v>
      </c>
      <c r="G287" s="1" t="s">
        <v>233</v>
      </c>
      <c r="H287" s="1" t="s">
        <v>234</v>
      </c>
      <c r="I287" s="1" t="s">
        <v>235</v>
      </c>
      <c r="J287" s="1" t="str">
        <f t="shared" si="1"/>
        <v>110000111111</v>
      </c>
    </row>
    <row r="288" spans="1:10" ht="15.75" customHeight="1">
      <c r="A288" s="1">
        <v>287</v>
      </c>
      <c r="B288" s="1" t="s">
        <v>232</v>
      </c>
      <c r="C288" s="1" t="s">
        <v>229</v>
      </c>
      <c r="D288" s="1" t="s">
        <v>238</v>
      </c>
      <c r="E288" s="1" t="s">
        <v>239</v>
      </c>
      <c r="F288" s="1" t="s">
        <v>230</v>
      </c>
      <c r="G288" s="1" t="s">
        <v>231</v>
      </c>
      <c r="H288" s="1" t="s">
        <v>234</v>
      </c>
      <c r="I288" s="1" t="s">
        <v>235</v>
      </c>
      <c r="J288" s="1" t="str">
        <f t="shared" si="1"/>
        <v>110001011111</v>
      </c>
    </row>
    <row r="289" spans="1:10" ht="15.75" customHeight="1">
      <c r="A289" s="1">
        <v>288</v>
      </c>
      <c r="B289" s="1" t="s">
        <v>230</v>
      </c>
      <c r="C289" s="1" t="s">
        <v>229</v>
      </c>
      <c r="D289" s="1" t="s">
        <v>238</v>
      </c>
      <c r="E289" s="1" t="s">
        <v>231</v>
      </c>
      <c r="F289" s="1" t="s">
        <v>239</v>
      </c>
      <c r="G289" s="1" t="s">
        <v>233</v>
      </c>
      <c r="H289" s="1" t="s">
        <v>234</v>
      </c>
      <c r="I289" s="1" t="s">
        <v>235</v>
      </c>
      <c r="J289" s="1" t="str">
        <f t="shared" si="1"/>
        <v>110001101111</v>
      </c>
    </row>
    <row r="290" spans="1:10" ht="15.75" customHeight="1">
      <c r="A290" s="1">
        <v>289</v>
      </c>
      <c r="B290" s="1" t="s">
        <v>232</v>
      </c>
      <c r="C290" s="1" t="s">
        <v>229</v>
      </c>
      <c r="D290" s="1" t="s">
        <v>238</v>
      </c>
      <c r="E290" s="1" t="s">
        <v>231</v>
      </c>
      <c r="F290" s="1" t="s">
        <v>239</v>
      </c>
      <c r="G290" s="1" t="s">
        <v>233</v>
      </c>
      <c r="H290" s="1" t="s">
        <v>234</v>
      </c>
      <c r="I290" s="1" t="s">
        <v>235</v>
      </c>
      <c r="J290" s="1" t="str">
        <f t="shared" si="1"/>
        <v>110001110111</v>
      </c>
    </row>
    <row r="291" spans="1:10" ht="15.75" customHeight="1">
      <c r="A291" s="1">
        <v>290</v>
      </c>
      <c r="B291" s="1" t="s">
        <v>232</v>
      </c>
      <c r="C291" s="1" t="s">
        <v>233</v>
      </c>
      <c r="D291" s="1" t="s">
        <v>238</v>
      </c>
      <c r="E291" s="1" t="s">
        <v>239</v>
      </c>
      <c r="F291" s="1" t="s">
        <v>230</v>
      </c>
      <c r="G291" s="1" t="s">
        <v>231</v>
      </c>
      <c r="H291" s="1" t="s">
        <v>234</v>
      </c>
      <c r="I291" s="1" t="s">
        <v>235</v>
      </c>
      <c r="J291" s="1" t="str">
        <f t="shared" si="1"/>
        <v>110001111011</v>
      </c>
    </row>
    <row r="292" spans="1:10" ht="15.75" customHeight="1">
      <c r="A292" s="1">
        <v>291</v>
      </c>
      <c r="B292" s="1" t="s">
        <v>232</v>
      </c>
      <c r="C292" s="1" t="s">
        <v>229</v>
      </c>
      <c r="D292" s="1" t="s">
        <v>238</v>
      </c>
      <c r="E292" s="1" t="s">
        <v>231</v>
      </c>
      <c r="F292" s="1" t="s">
        <v>239</v>
      </c>
      <c r="G292" s="1" t="s">
        <v>233</v>
      </c>
      <c r="H292" s="1" t="s">
        <v>234</v>
      </c>
      <c r="I292" s="1" t="s">
        <v>230</v>
      </c>
      <c r="J292" s="1" t="str">
        <f t="shared" si="1"/>
        <v>110001111101</v>
      </c>
    </row>
    <row r="293" spans="1:10" ht="15.75" customHeight="1">
      <c r="A293" s="1">
        <v>292</v>
      </c>
      <c r="B293" s="1" t="s">
        <v>232</v>
      </c>
      <c r="C293" s="1" t="s">
        <v>229</v>
      </c>
      <c r="D293" s="1" t="s">
        <v>238</v>
      </c>
      <c r="E293" s="1" t="s">
        <v>231</v>
      </c>
      <c r="F293" s="1" t="s">
        <v>239</v>
      </c>
      <c r="G293" s="1" t="s">
        <v>233</v>
      </c>
      <c r="H293" s="1" t="s">
        <v>230</v>
      </c>
      <c r="I293" s="1" t="s">
        <v>235</v>
      </c>
      <c r="J293" s="1" t="str">
        <f t="shared" si="1"/>
        <v>110001111110</v>
      </c>
    </row>
    <row r="294" spans="1:10" ht="15.75" customHeight="1">
      <c r="A294" s="1">
        <v>293</v>
      </c>
      <c r="B294" s="1" t="s">
        <v>228</v>
      </c>
      <c r="C294" s="1" t="s">
        <v>229</v>
      </c>
      <c r="D294" s="1" t="s">
        <v>238</v>
      </c>
      <c r="E294" s="1" t="s">
        <v>239</v>
      </c>
      <c r="F294" s="1" t="s">
        <v>230</v>
      </c>
      <c r="G294" s="1" t="s">
        <v>232</v>
      </c>
      <c r="H294" s="1" t="s">
        <v>234</v>
      </c>
      <c r="I294" s="1" t="s">
        <v>235</v>
      </c>
      <c r="J294" s="1" t="str">
        <f t="shared" si="1"/>
        <v>110010011111</v>
      </c>
    </row>
    <row r="295" spans="1:10" ht="15.75" customHeight="1">
      <c r="A295" s="1">
        <v>294</v>
      </c>
      <c r="B295" s="1" t="s">
        <v>228</v>
      </c>
      <c r="C295" s="1" t="s">
        <v>229</v>
      </c>
      <c r="D295" s="1" t="s">
        <v>238</v>
      </c>
      <c r="E295" s="1" t="s">
        <v>239</v>
      </c>
      <c r="F295" s="1" t="s">
        <v>230</v>
      </c>
      <c r="G295" s="1" t="s">
        <v>233</v>
      </c>
      <c r="H295" s="1" t="s">
        <v>234</v>
      </c>
      <c r="I295" s="1" t="s">
        <v>235</v>
      </c>
      <c r="J295" s="1" t="str">
        <f t="shared" si="1"/>
        <v>110010101111</v>
      </c>
    </row>
    <row r="296" spans="1:10" ht="15.75" customHeight="1">
      <c r="A296" s="1">
        <v>295</v>
      </c>
      <c r="B296" s="1" t="s">
        <v>228</v>
      </c>
      <c r="C296" s="1" t="s">
        <v>229</v>
      </c>
      <c r="D296" s="1" t="s">
        <v>238</v>
      </c>
      <c r="E296" s="1" t="s">
        <v>239</v>
      </c>
      <c r="F296" s="1" t="s">
        <v>232</v>
      </c>
      <c r="G296" s="1" t="s">
        <v>233</v>
      </c>
      <c r="H296" s="1" t="s">
        <v>234</v>
      </c>
      <c r="I296" s="1" t="s">
        <v>235</v>
      </c>
      <c r="J296" s="1" t="str">
        <f t="shared" si="1"/>
        <v>110010110111</v>
      </c>
    </row>
    <row r="297" spans="1:10" ht="15.75" customHeight="1">
      <c r="A297" s="1">
        <v>296</v>
      </c>
      <c r="B297" s="1" t="s">
        <v>228</v>
      </c>
      <c r="C297" s="1" t="s">
        <v>233</v>
      </c>
      <c r="D297" s="1" t="s">
        <v>238</v>
      </c>
      <c r="E297" s="1" t="s">
        <v>239</v>
      </c>
      <c r="F297" s="1" t="s">
        <v>230</v>
      </c>
      <c r="G297" s="1" t="s">
        <v>232</v>
      </c>
      <c r="H297" s="1" t="s">
        <v>234</v>
      </c>
      <c r="I297" s="1" t="s">
        <v>235</v>
      </c>
      <c r="J297" s="1" t="str">
        <f t="shared" si="1"/>
        <v>110010111011</v>
      </c>
    </row>
    <row r="298" spans="1:10" ht="15.75" customHeight="1">
      <c r="A298" s="1">
        <v>297</v>
      </c>
      <c r="B298" s="1" t="s">
        <v>228</v>
      </c>
      <c r="C298" s="1" t="s">
        <v>229</v>
      </c>
      <c r="D298" s="1" t="s">
        <v>238</v>
      </c>
      <c r="E298" s="1" t="s">
        <v>239</v>
      </c>
      <c r="F298" s="1" t="s">
        <v>232</v>
      </c>
      <c r="G298" s="1" t="s">
        <v>233</v>
      </c>
      <c r="H298" s="1" t="s">
        <v>234</v>
      </c>
      <c r="I298" s="1" t="s">
        <v>230</v>
      </c>
      <c r="J298" s="1" t="str">
        <f t="shared" si="1"/>
        <v>110010111101</v>
      </c>
    </row>
    <row r="299" spans="1:10" ht="15.75" customHeight="1">
      <c r="A299" s="1">
        <v>298</v>
      </c>
      <c r="B299" s="1" t="s">
        <v>228</v>
      </c>
      <c r="C299" s="1" t="s">
        <v>229</v>
      </c>
      <c r="D299" s="1" t="s">
        <v>238</v>
      </c>
      <c r="E299" s="1" t="s">
        <v>239</v>
      </c>
      <c r="F299" s="1" t="s">
        <v>232</v>
      </c>
      <c r="G299" s="1" t="s">
        <v>233</v>
      </c>
      <c r="H299" s="1" t="s">
        <v>230</v>
      </c>
      <c r="I299" s="1" t="s">
        <v>235</v>
      </c>
      <c r="J299" s="1" t="str">
        <f t="shared" si="1"/>
        <v>110010111110</v>
      </c>
    </row>
    <row r="300" spans="1:10" ht="15.75" customHeight="1">
      <c r="A300" s="1">
        <v>299</v>
      </c>
      <c r="B300" s="1" t="s">
        <v>228</v>
      </c>
      <c r="C300" s="1" t="s">
        <v>229</v>
      </c>
      <c r="D300" s="1" t="s">
        <v>238</v>
      </c>
      <c r="E300" s="1" t="s">
        <v>239</v>
      </c>
      <c r="F300" s="1" t="s">
        <v>230</v>
      </c>
      <c r="G300" s="1" t="s">
        <v>231</v>
      </c>
      <c r="H300" s="1" t="s">
        <v>234</v>
      </c>
      <c r="I300" s="1" t="s">
        <v>235</v>
      </c>
      <c r="J300" s="1" t="str">
        <f t="shared" si="1"/>
        <v>110011001111</v>
      </c>
    </row>
    <row r="301" spans="1:10" ht="15.75" customHeight="1">
      <c r="A301" s="1">
        <v>300</v>
      </c>
      <c r="B301" s="1" t="s">
        <v>228</v>
      </c>
      <c r="C301" s="1" t="s">
        <v>229</v>
      </c>
      <c r="D301" s="1" t="s">
        <v>238</v>
      </c>
      <c r="E301" s="1" t="s">
        <v>231</v>
      </c>
      <c r="F301" s="1" t="s">
        <v>239</v>
      </c>
      <c r="G301" s="1" t="s">
        <v>232</v>
      </c>
      <c r="H301" s="1" t="s">
        <v>234</v>
      </c>
      <c r="I301" s="1" t="s">
        <v>235</v>
      </c>
      <c r="J301" s="1" t="str">
        <f t="shared" si="1"/>
        <v>110011010111</v>
      </c>
    </row>
    <row r="302" spans="1:10" ht="15.75" customHeight="1">
      <c r="A302" s="1">
        <v>301</v>
      </c>
      <c r="B302" s="1" t="s">
        <v>228</v>
      </c>
      <c r="C302" s="1" t="s">
        <v>230</v>
      </c>
      <c r="D302" s="1" t="s">
        <v>238</v>
      </c>
      <c r="E302" s="1" t="s">
        <v>231</v>
      </c>
      <c r="F302" s="1" t="s">
        <v>239</v>
      </c>
      <c r="G302" s="1" t="s">
        <v>232</v>
      </c>
      <c r="H302" s="1" t="s">
        <v>234</v>
      </c>
      <c r="I302" s="1" t="s">
        <v>235</v>
      </c>
      <c r="J302" s="1" t="str">
        <f t="shared" si="1"/>
        <v>110011011011</v>
      </c>
    </row>
    <row r="303" spans="1:10" ht="15.75" customHeight="1">
      <c r="A303" s="1">
        <v>302</v>
      </c>
      <c r="B303" s="1" t="s">
        <v>228</v>
      </c>
      <c r="C303" s="1" t="s">
        <v>229</v>
      </c>
      <c r="D303" s="1" t="s">
        <v>238</v>
      </c>
      <c r="E303" s="1" t="s">
        <v>231</v>
      </c>
      <c r="F303" s="1" t="s">
        <v>239</v>
      </c>
      <c r="G303" s="1" t="s">
        <v>232</v>
      </c>
      <c r="H303" s="1" t="s">
        <v>234</v>
      </c>
      <c r="I303" s="1" t="s">
        <v>230</v>
      </c>
      <c r="J303" s="1" t="str">
        <f t="shared" si="1"/>
        <v>110011011101</v>
      </c>
    </row>
    <row r="304" spans="1:10" ht="15.75" customHeight="1">
      <c r="A304" s="1">
        <v>303</v>
      </c>
      <c r="B304" s="1" t="s">
        <v>228</v>
      </c>
      <c r="C304" s="1" t="s">
        <v>229</v>
      </c>
      <c r="D304" s="1" t="s">
        <v>238</v>
      </c>
      <c r="E304" s="1" t="s">
        <v>231</v>
      </c>
      <c r="F304" s="1" t="s">
        <v>239</v>
      </c>
      <c r="G304" s="1" t="s">
        <v>232</v>
      </c>
      <c r="H304" s="1" t="s">
        <v>230</v>
      </c>
      <c r="I304" s="1" t="s">
        <v>235</v>
      </c>
      <c r="J304" s="1" t="str">
        <f t="shared" si="1"/>
        <v>110011011110</v>
      </c>
    </row>
    <row r="305" spans="1:10" ht="15.75" customHeight="1">
      <c r="A305" s="1">
        <v>304</v>
      </c>
      <c r="B305" s="1" t="s">
        <v>228</v>
      </c>
      <c r="C305" s="1" t="s">
        <v>229</v>
      </c>
      <c r="D305" s="1" t="s">
        <v>238</v>
      </c>
      <c r="E305" s="1" t="s">
        <v>231</v>
      </c>
      <c r="F305" s="1" t="s">
        <v>239</v>
      </c>
      <c r="G305" s="1" t="s">
        <v>233</v>
      </c>
      <c r="H305" s="1" t="s">
        <v>234</v>
      </c>
      <c r="I305" s="1" t="s">
        <v>235</v>
      </c>
      <c r="J305" s="1" t="str">
        <f t="shared" si="1"/>
        <v>110011100111</v>
      </c>
    </row>
    <row r="306" spans="1:10" ht="15.75" customHeight="1">
      <c r="A306" s="1">
        <v>305</v>
      </c>
      <c r="B306" s="1" t="s">
        <v>228</v>
      </c>
      <c r="C306" s="1" t="s">
        <v>233</v>
      </c>
      <c r="D306" s="1" t="s">
        <v>238</v>
      </c>
      <c r="E306" s="1" t="s">
        <v>239</v>
      </c>
      <c r="F306" s="1" t="s">
        <v>230</v>
      </c>
      <c r="G306" s="1" t="s">
        <v>231</v>
      </c>
      <c r="H306" s="1" t="s">
        <v>234</v>
      </c>
      <c r="I306" s="1" t="s">
        <v>235</v>
      </c>
      <c r="J306" s="1" t="str">
        <f t="shared" si="1"/>
        <v>110011101011</v>
      </c>
    </row>
    <row r="307" spans="1:10" ht="15.75" customHeight="1">
      <c r="A307" s="1">
        <v>306</v>
      </c>
      <c r="B307" s="1" t="s">
        <v>228</v>
      </c>
      <c r="C307" s="1" t="s">
        <v>229</v>
      </c>
      <c r="D307" s="1" t="s">
        <v>238</v>
      </c>
      <c r="E307" s="1" t="s">
        <v>231</v>
      </c>
      <c r="F307" s="1" t="s">
        <v>239</v>
      </c>
      <c r="G307" s="1" t="s">
        <v>233</v>
      </c>
      <c r="H307" s="1" t="s">
        <v>234</v>
      </c>
      <c r="I307" s="1" t="s">
        <v>230</v>
      </c>
      <c r="J307" s="1" t="str">
        <f t="shared" si="1"/>
        <v>110011101101</v>
      </c>
    </row>
    <row r="308" spans="1:10" ht="15.75" customHeight="1">
      <c r="A308" s="1">
        <v>307</v>
      </c>
      <c r="B308" s="1" t="s">
        <v>228</v>
      </c>
      <c r="C308" s="1" t="s">
        <v>229</v>
      </c>
      <c r="D308" s="1" t="s">
        <v>238</v>
      </c>
      <c r="E308" s="1" t="s">
        <v>231</v>
      </c>
      <c r="F308" s="1" t="s">
        <v>239</v>
      </c>
      <c r="G308" s="1" t="s">
        <v>233</v>
      </c>
      <c r="H308" s="1" t="s">
        <v>230</v>
      </c>
      <c r="I308" s="1" t="s">
        <v>235</v>
      </c>
      <c r="J308" s="1" t="str">
        <f t="shared" si="1"/>
        <v>110011101110</v>
      </c>
    </row>
    <row r="309" spans="1:10" ht="15.75" customHeight="1">
      <c r="A309" s="1">
        <v>308</v>
      </c>
      <c r="B309" s="1" t="s">
        <v>228</v>
      </c>
      <c r="C309" s="1" t="s">
        <v>233</v>
      </c>
      <c r="D309" s="1" t="s">
        <v>238</v>
      </c>
      <c r="E309" s="1" t="s">
        <v>231</v>
      </c>
      <c r="F309" s="1" t="s">
        <v>239</v>
      </c>
      <c r="G309" s="1" t="s">
        <v>232</v>
      </c>
      <c r="H309" s="1" t="s">
        <v>234</v>
      </c>
      <c r="I309" s="1" t="s">
        <v>235</v>
      </c>
      <c r="J309" s="1" t="str">
        <f t="shared" si="1"/>
        <v>110011110011</v>
      </c>
    </row>
    <row r="310" spans="1:10" ht="15.75" customHeight="1">
      <c r="A310" s="1">
        <v>309</v>
      </c>
      <c r="B310" s="1" t="s">
        <v>232</v>
      </c>
      <c r="C310" s="1" t="s">
        <v>229</v>
      </c>
      <c r="D310" s="1" t="s">
        <v>238</v>
      </c>
      <c r="E310" s="1" t="s">
        <v>231</v>
      </c>
      <c r="F310" s="1" t="s">
        <v>239</v>
      </c>
      <c r="G310" s="1" t="s">
        <v>233</v>
      </c>
      <c r="H310" s="1" t="s">
        <v>234</v>
      </c>
      <c r="I310" s="1" t="s">
        <v>228</v>
      </c>
      <c r="J310" s="1" t="str">
        <f t="shared" si="1"/>
        <v>110011110101</v>
      </c>
    </row>
    <row r="311" spans="1:10" ht="15.75" customHeight="1">
      <c r="A311" s="1">
        <v>310</v>
      </c>
      <c r="B311" s="1" t="s">
        <v>232</v>
      </c>
      <c r="C311" s="1" t="s">
        <v>229</v>
      </c>
      <c r="D311" s="1" t="s">
        <v>238</v>
      </c>
      <c r="E311" s="1" t="s">
        <v>231</v>
      </c>
      <c r="F311" s="1" t="s">
        <v>239</v>
      </c>
      <c r="G311" s="1" t="s">
        <v>233</v>
      </c>
      <c r="H311" s="1" t="s">
        <v>228</v>
      </c>
      <c r="I311" s="1" t="s">
        <v>235</v>
      </c>
      <c r="J311" s="1" t="str">
        <f t="shared" si="1"/>
        <v>110011110110</v>
      </c>
    </row>
    <row r="312" spans="1:10" ht="15.75" customHeight="1">
      <c r="A312" s="1">
        <v>311</v>
      </c>
      <c r="B312" s="1" t="s">
        <v>228</v>
      </c>
      <c r="C312" s="1" t="s">
        <v>233</v>
      </c>
      <c r="D312" s="1" t="s">
        <v>238</v>
      </c>
      <c r="E312" s="1" t="s">
        <v>231</v>
      </c>
      <c r="F312" s="1" t="s">
        <v>239</v>
      </c>
      <c r="G312" s="1" t="s">
        <v>232</v>
      </c>
      <c r="H312" s="1" t="s">
        <v>234</v>
      </c>
      <c r="I312" s="1" t="s">
        <v>230</v>
      </c>
      <c r="J312" s="1" t="str">
        <f t="shared" si="1"/>
        <v>110011111001</v>
      </c>
    </row>
    <row r="313" spans="1:10" ht="15.75" customHeight="1">
      <c r="A313" s="1">
        <v>312</v>
      </c>
      <c r="B313" s="1" t="s">
        <v>228</v>
      </c>
      <c r="C313" s="1" t="s">
        <v>233</v>
      </c>
      <c r="D313" s="1" t="s">
        <v>238</v>
      </c>
      <c r="E313" s="1" t="s">
        <v>231</v>
      </c>
      <c r="F313" s="1" t="s">
        <v>239</v>
      </c>
      <c r="G313" s="1" t="s">
        <v>232</v>
      </c>
      <c r="H313" s="1" t="s">
        <v>230</v>
      </c>
      <c r="I313" s="1" t="s">
        <v>235</v>
      </c>
      <c r="J313" s="1" t="str">
        <f t="shared" si="1"/>
        <v>110011111010</v>
      </c>
    </row>
    <row r="314" spans="1:10" ht="15.75" customHeight="1">
      <c r="A314" s="1">
        <v>313</v>
      </c>
      <c r="B314" s="1" t="s">
        <v>232</v>
      </c>
      <c r="C314" s="1" t="s">
        <v>229</v>
      </c>
      <c r="D314" s="1" t="s">
        <v>238</v>
      </c>
      <c r="E314" s="1" t="s">
        <v>231</v>
      </c>
      <c r="F314" s="1" t="s">
        <v>239</v>
      </c>
      <c r="G314" s="1" t="s">
        <v>233</v>
      </c>
      <c r="H314" s="1" t="s">
        <v>228</v>
      </c>
      <c r="I314" s="1" t="s">
        <v>230</v>
      </c>
      <c r="J314" s="1" t="str">
        <f t="shared" si="1"/>
        <v>110011111100</v>
      </c>
    </row>
    <row r="315" spans="1:10" ht="15.75" customHeight="1">
      <c r="A315" s="1">
        <v>314</v>
      </c>
      <c r="B315" s="1" t="s">
        <v>230</v>
      </c>
      <c r="C315" s="1" t="s">
        <v>229</v>
      </c>
      <c r="D315" s="1" t="s">
        <v>238</v>
      </c>
      <c r="E315" s="1" t="s">
        <v>236</v>
      </c>
      <c r="F315" s="1" t="s">
        <v>239</v>
      </c>
      <c r="G315" s="1" t="s">
        <v>232</v>
      </c>
      <c r="H315" s="1" t="s">
        <v>234</v>
      </c>
      <c r="I315" s="1" t="s">
        <v>235</v>
      </c>
      <c r="J315" s="1" t="str">
        <f t="shared" si="1"/>
        <v>110100011111</v>
      </c>
    </row>
    <row r="316" spans="1:10" ht="15.75" customHeight="1">
      <c r="A316" s="1">
        <v>315</v>
      </c>
      <c r="B316" s="1" t="s">
        <v>230</v>
      </c>
      <c r="C316" s="1" t="s">
        <v>229</v>
      </c>
      <c r="D316" s="1" t="s">
        <v>238</v>
      </c>
      <c r="E316" s="1" t="s">
        <v>236</v>
      </c>
      <c r="F316" s="1" t="s">
        <v>239</v>
      </c>
      <c r="G316" s="1" t="s">
        <v>233</v>
      </c>
      <c r="H316" s="1" t="s">
        <v>234</v>
      </c>
      <c r="I316" s="1" t="s">
        <v>235</v>
      </c>
      <c r="J316" s="1" t="str">
        <f t="shared" si="1"/>
        <v>110100101111</v>
      </c>
    </row>
    <row r="317" spans="1:10" ht="15.75" customHeight="1">
      <c r="A317" s="1">
        <v>316</v>
      </c>
      <c r="B317" s="1" t="s">
        <v>232</v>
      </c>
      <c r="C317" s="1" t="s">
        <v>229</v>
      </c>
      <c r="D317" s="1" t="s">
        <v>238</v>
      </c>
      <c r="E317" s="1" t="s">
        <v>236</v>
      </c>
      <c r="F317" s="1" t="s">
        <v>239</v>
      </c>
      <c r="G317" s="1" t="s">
        <v>233</v>
      </c>
      <c r="H317" s="1" t="s">
        <v>234</v>
      </c>
      <c r="I317" s="1" t="s">
        <v>235</v>
      </c>
      <c r="J317" s="1" t="str">
        <f t="shared" si="1"/>
        <v>110100110111</v>
      </c>
    </row>
    <row r="318" spans="1:10" ht="15.75" customHeight="1">
      <c r="A318" s="1">
        <v>317</v>
      </c>
      <c r="B318" s="1" t="s">
        <v>230</v>
      </c>
      <c r="C318" s="1" t="s">
        <v>233</v>
      </c>
      <c r="D318" s="1" t="s">
        <v>238</v>
      </c>
      <c r="E318" s="1" t="s">
        <v>236</v>
      </c>
      <c r="F318" s="1" t="s">
        <v>239</v>
      </c>
      <c r="G318" s="1" t="s">
        <v>232</v>
      </c>
      <c r="H318" s="1" t="s">
        <v>234</v>
      </c>
      <c r="I318" s="1" t="s">
        <v>235</v>
      </c>
      <c r="J318" s="1" t="str">
        <f t="shared" si="1"/>
        <v>110100111011</v>
      </c>
    </row>
    <row r="319" spans="1:10" ht="15.75" customHeight="1">
      <c r="A319" s="1">
        <v>318</v>
      </c>
      <c r="B319" s="1" t="s">
        <v>232</v>
      </c>
      <c r="C319" s="1" t="s">
        <v>229</v>
      </c>
      <c r="D319" s="1" t="s">
        <v>238</v>
      </c>
      <c r="E319" s="1" t="s">
        <v>236</v>
      </c>
      <c r="F319" s="1" t="s">
        <v>239</v>
      </c>
      <c r="G319" s="1" t="s">
        <v>233</v>
      </c>
      <c r="H319" s="1" t="s">
        <v>234</v>
      </c>
      <c r="I319" s="1" t="s">
        <v>230</v>
      </c>
      <c r="J319" s="1" t="str">
        <f t="shared" si="1"/>
        <v>110100111101</v>
      </c>
    </row>
    <row r="320" spans="1:10" ht="15.75" customHeight="1">
      <c r="A320" s="1">
        <v>319</v>
      </c>
      <c r="B320" s="1" t="s">
        <v>232</v>
      </c>
      <c r="C320" s="1" t="s">
        <v>229</v>
      </c>
      <c r="D320" s="1" t="s">
        <v>238</v>
      </c>
      <c r="E320" s="1" t="s">
        <v>236</v>
      </c>
      <c r="F320" s="1" t="s">
        <v>239</v>
      </c>
      <c r="G320" s="1" t="s">
        <v>233</v>
      </c>
      <c r="H320" s="1" t="s">
        <v>230</v>
      </c>
      <c r="I320" s="1" t="s">
        <v>235</v>
      </c>
      <c r="J320" s="1" t="str">
        <f t="shared" si="1"/>
        <v>110100111110</v>
      </c>
    </row>
    <row r="321" spans="1:10" ht="15.75" customHeight="1">
      <c r="A321" s="1">
        <v>320</v>
      </c>
      <c r="B321" s="1" t="s">
        <v>230</v>
      </c>
      <c r="C321" s="1" t="s">
        <v>229</v>
      </c>
      <c r="D321" s="1" t="s">
        <v>238</v>
      </c>
      <c r="E321" s="1" t="s">
        <v>236</v>
      </c>
      <c r="F321" s="1" t="s">
        <v>239</v>
      </c>
      <c r="G321" s="1" t="s">
        <v>231</v>
      </c>
      <c r="H321" s="1" t="s">
        <v>234</v>
      </c>
      <c r="I321" s="1" t="s">
        <v>235</v>
      </c>
      <c r="J321" s="1" t="str">
        <f t="shared" si="1"/>
        <v>110101001111</v>
      </c>
    </row>
    <row r="322" spans="1:10" ht="15.75" customHeight="1">
      <c r="A322" s="1">
        <v>321</v>
      </c>
      <c r="B322" s="1" t="s">
        <v>232</v>
      </c>
      <c r="C322" s="1" t="s">
        <v>229</v>
      </c>
      <c r="D322" s="1" t="s">
        <v>238</v>
      </c>
      <c r="E322" s="1" t="s">
        <v>236</v>
      </c>
      <c r="F322" s="1" t="s">
        <v>239</v>
      </c>
      <c r="G322" s="1" t="s">
        <v>231</v>
      </c>
      <c r="H322" s="1" t="s">
        <v>234</v>
      </c>
      <c r="I322" s="1" t="s">
        <v>235</v>
      </c>
      <c r="J322" s="1" t="str">
        <f t="shared" si="1"/>
        <v>110101010111</v>
      </c>
    </row>
    <row r="323" spans="1:10" ht="15.75" customHeight="1">
      <c r="A323" s="1">
        <v>322</v>
      </c>
      <c r="B323" s="1" t="s">
        <v>232</v>
      </c>
      <c r="C323" s="1" t="s">
        <v>230</v>
      </c>
      <c r="D323" s="1" t="s">
        <v>238</v>
      </c>
      <c r="E323" s="1" t="s">
        <v>236</v>
      </c>
      <c r="F323" s="1" t="s">
        <v>239</v>
      </c>
      <c r="G323" s="1" t="s">
        <v>231</v>
      </c>
      <c r="H323" s="1" t="s">
        <v>234</v>
      </c>
      <c r="I323" s="1" t="s">
        <v>235</v>
      </c>
      <c r="J323" s="1" t="str">
        <f t="shared" si="1"/>
        <v>110101011011</v>
      </c>
    </row>
    <row r="324" spans="1:10" ht="15.75" customHeight="1">
      <c r="A324" s="1">
        <v>323</v>
      </c>
      <c r="B324" s="1" t="s">
        <v>232</v>
      </c>
      <c r="C324" s="1" t="s">
        <v>229</v>
      </c>
      <c r="D324" s="1" t="s">
        <v>238</v>
      </c>
      <c r="E324" s="1" t="s">
        <v>236</v>
      </c>
      <c r="F324" s="1" t="s">
        <v>239</v>
      </c>
      <c r="G324" s="1" t="s">
        <v>231</v>
      </c>
      <c r="H324" s="1" t="s">
        <v>234</v>
      </c>
      <c r="I324" s="1" t="s">
        <v>230</v>
      </c>
      <c r="J324" s="1" t="str">
        <f t="shared" si="1"/>
        <v>110101011101</v>
      </c>
    </row>
    <row r="325" spans="1:10" ht="15.75" customHeight="1">
      <c r="A325" s="1">
        <v>324</v>
      </c>
      <c r="B325" s="1" t="s">
        <v>232</v>
      </c>
      <c r="C325" s="1" t="s">
        <v>229</v>
      </c>
      <c r="D325" s="1" t="s">
        <v>238</v>
      </c>
      <c r="E325" s="1" t="s">
        <v>236</v>
      </c>
      <c r="F325" s="1" t="s">
        <v>239</v>
      </c>
      <c r="G325" s="1" t="s">
        <v>231</v>
      </c>
      <c r="H325" s="1" t="s">
        <v>230</v>
      </c>
      <c r="I325" s="1" t="s">
        <v>235</v>
      </c>
      <c r="J325" s="1" t="str">
        <f t="shared" si="1"/>
        <v>110101011110</v>
      </c>
    </row>
    <row r="326" spans="1:10" ht="15.75" customHeight="1">
      <c r="A326" s="1">
        <v>325</v>
      </c>
      <c r="B326" s="1" t="s">
        <v>231</v>
      </c>
      <c r="C326" s="1" t="s">
        <v>229</v>
      </c>
      <c r="D326" s="1" t="s">
        <v>238</v>
      </c>
      <c r="E326" s="1" t="s">
        <v>236</v>
      </c>
      <c r="F326" s="1" t="s">
        <v>239</v>
      </c>
      <c r="G326" s="1" t="s">
        <v>233</v>
      </c>
      <c r="H326" s="1" t="s">
        <v>234</v>
      </c>
      <c r="I326" s="1" t="s">
        <v>235</v>
      </c>
      <c r="J326" s="1" t="str">
        <f t="shared" si="1"/>
        <v>110101100111</v>
      </c>
    </row>
    <row r="327" spans="1:10" ht="15.75" customHeight="1">
      <c r="A327" s="1">
        <v>326</v>
      </c>
      <c r="B327" s="1" t="s">
        <v>230</v>
      </c>
      <c r="C327" s="1" t="s">
        <v>233</v>
      </c>
      <c r="D327" s="1" t="s">
        <v>238</v>
      </c>
      <c r="E327" s="1" t="s">
        <v>236</v>
      </c>
      <c r="F327" s="1" t="s">
        <v>239</v>
      </c>
      <c r="G327" s="1" t="s">
        <v>231</v>
      </c>
      <c r="H327" s="1" t="s">
        <v>234</v>
      </c>
      <c r="I327" s="1" t="s">
        <v>235</v>
      </c>
      <c r="J327" s="1" t="str">
        <f t="shared" si="1"/>
        <v>110101101011</v>
      </c>
    </row>
    <row r="328" spans="1:10" ht="15.75" customHeight="1">
      <c r="A328" s="1">
        <v>327</v>
      </c>
      <c r="B328" s="1" t="s">
        <v>231</v>
      </c>
      <c r="C328" s="1" t="s">
        <v>229</v>
      </c>
      <c r="D328" s="1" t="s">
        <v>238</v>
      </c>
      <c r="E328" s="1" t="s">
        <v>236</v>
      </c>
      <c r="F328" s="1" t="s">
        <v>239</v>
      </c>
      <c r="G328" s="1" t="s">
        <v>233</v>
      </c>
      <c r="H328" s="1" t="s">
        <v>234</v>
      </c>
      <c r="I328" s="1" t="s">
        <v>230</v>
      </c>
      <c r="J328" s="1" t="str">
        <f t="shared" si="1"/>
        <v>110101101101</v>
      </c>
    </row>
    <row r="329" spans="1:10" ht="15.75" customHeight="1">
      <c r="A329" s="1">
        <v>328</v>
      </c>
      <c r="B329" s="1" t="s">
        <v>231</v>
      </c>
      <c r="C329" s="1" t="s">
        <v>229</v>
      </c>
      <c r="D329" s="1" t="s">
        <v>238</v>
      </c>
      <c r="E329" s="1" t="s">
        <v>236</v>
      </c>
      <c r="F329" s="1" t="s">
        <v>239</v>
      </c>
      <c r="G329" s="1" t="s">
        <v>233</v>
      </c>
      <c r="H329" s="1" t="s">
        <v>230</v>
      </c>
      <c r="I329" s="1" t="s">
        <v>235</v>
      </c>
      <c r="J329" s="1" t="str">
        <f t="shared" si="1"/>
        <v>110101101110</v>
      </c>
    </row>
    <row r="330" spans="1:10" ht="15.75" customHeight="1">
      <c r="A330" s="1">
        <v>329</v>
      </c>
      <c r="B330" s="1" t="s">
        <v>232</v>
      </c>
      <c r="C330" s="1" t="s">
        <v>233</v>
      </c>
      <c r="D330" s="1" t="s">
        <v>238</v>
      </c>
      <c r="E330" s="1" t="s">
        <v>236</v>
      </c>
      <c r="F330" s="1" t="s">
        <v>239</v>
      </c>
      <c r="G330" s="1" t="s">
        <v>231</v>
      </c>
      <c r="H330" s="1" t="s">
        <v>234</v>
      </c>
      <c r="I330" s="1" t="s">
        <v>235</v>
      </c>
      <c r="J330" s="1" t="str">
        <f t="shared" si="1"/>
        <v>110101110011</v>
      </c>
    </row>
    <row r="331" spans="1:10" ht="15.75" customHeight="1">
      <c r="A331" s="1">
        <v>330</v>
      </c>
      <c r="B331" s="1" t="s">
        <v>232</v>
      </c>
      <c r="C331" s="1" t="s">
        <v>233</v>
      </c>
      <c r="D331" s="1" t="s">
        <v>238</v>
      </c>
      <c r="E331" s="1" t="s">
        <v>236</v>
      </c>
      <c r="F331" s="1" t="s">
        <v>239</v>
      </c>
      <c r="G331" s="1" t="s">
        <v>231</v>
      </c>
      <c r="H331" s="1" t="s">
        <v>234</v>
      </c>
      <c r="I331" s="1" t="s">
        <v>229</v>
      </c>
      <c r="J331" s="1" t="str">
        <f t="shared" si="1"/>
        <v>110101110101</v>
      </c>
    </row>
    <row r="332" spans="1:10" ht="15.75" customHeight="1">
      <c r="A332" s="1">
        <v>331</v>
      </c>
      <c r="B332" s="1" t="s">
        <v>232</v>
      </c>
      <c r="C332" s="1" t="s">
        <v>233</v>
      </c>
      <c r="D332" s="1" t="s">
        <v>238</v>
      </c>
      <c r="E332" s="1" t="s">
        <v>236</v>
      </c>
      <c r="F332" s="1" t="s">
        <v>239</v>
      </c>
      <c r="G332" s="1" t="s">
        <v>231</v>
      </c>
      <c r="H332" s="1" t="s">
        <v>229</v>
      </c>
      <c r="I332" s="1" t="s">
        <v>235</v>
      </c>
      <c r="J332" s="1" t="str">
        <f t="shared" si="1"/>
        <v>110101110110</v>
      </c>
    </row>
    <row r="333" spans="1:10" ht="15.75" customHeight="1">
      <c r="A333" s="1">
        <v>332</v>
      </c>
      <c r="B333" s="1" t="s">
        <v>232</v>
      </c>
      <c r="C333" s="1" t="s">
        <v>233</v>
      </c>
      <c r="D333" s="1" t="s">
        <v>238</v>
      </c>
      <c r="E333" s="1" t="s">
        <v>236</v>
      </c>
      <c r="F333" s="1" t="s">
        <v>239</v>
      </c>
      <c r="G333" s="1" t="s">
        <v>231</v>
      </c>
      <c r="H333" s="1" t="s">
        <v>234</v>
      </c>
      <c r="I333" s="1" t="s">
        <v>230</v>
      </c>
      <c r="J333" s="1" t="str">
        <f t="shared" si="1"/>
        <v>110101111001</v>
      </c>
    </row>
    <row r="334" spans="1:10" ht="15.75" customHeight="1">
      <c r="A334" s="1">
        <v>333</v>
      </c>
      <c r="B334" s="1" t="s">
        <v>232</v>
      </c>
      <c r="C334" s="1" t="s">
        <v>233</v>
      </c>
      <c r="D334" s="1" t="s">
        <v>238</v>
      </c>
      <c r="E334" s="1" t="s">
        <v>236</v>
      </c>
      <c r="F334" s="1" t="s">
        <v>239</v>
      </c>
      <c r="G334" s="1" t="s">
        <v>231</v>
      </c>
      <c r="H334" s="1" t="s">
        <v>230</v>
      </c>
      <c r="I334" s="1" t="s">
        <v>235</v>
      </c>
      <c r="J334" s="1" t="str">
        <f t="shared" si="1"/>
        <v>110101111010</v>
      </c>
    </row>
    <row r="335" spans="1:10" ht="15.75" customHeight="1">
      <c r="A335" s="1">
        <v>334</v>
      </c>
      <c r="B335" s="1" t="s">
        <v>232</v>
      </c>
      <c r="C335" s="1" t="s">
        <v>233</v>
      </c>
      <c r="D335" s="1" t="s">
        <v>238</v>
      </c>
      <c r="E335" s="1" t="s">
        <v>236</v>
      </c>
      <c r="F335" s="1" t="s">
        <v>239</v>
      </c>
      <c r="G335" s="1" t="s">
        <v>231</v>
      </c>
      <c r="H335" s="1" t="s">
        <v>230</v>
      </c>
      <c r="I335" s="1" t="s">
        <v>229</v>
      </c>
      <c r="J335" s="1" t="str">
        <f t="shared" si="1"/>
        <v>110101111100</v>
      </c>
    </row>
    <row r="336" spans="1:10" ht="15.75" customHeight="1">
      <c r="A336" s="1">
        <v>335</v>
      </c>
      <c r="B336" s="1" t="s">
        <v>228</v>
      </c>
      <c r="C336" s="1" t="s">
        <v>229</v>
      </c>
      <c r="D336" s="1" t="s">
        <v>238</v>
      </c>
      <c r="E336" s="1" t="s">
        <v>239</v>
      </c>
      <c r="F336" s="1" t="s">
        <v>230</v>
      </c>
      <c r="G336" s="1" t="s">
        <v>236</v>
      </c>
      <c r="H336" s="1" t="s">
        <v>234</v>
      </c>
      <c r="I336" s="1" t="s">
        <v>235</v>
      </c>
      <c r="J336" s="1" t="str">
        <f t="shared" si="1"/>
        <v>110110001111</v>
      </c>
    </row>
    <row r="337" spans="1:10" ht="15.75" customHeight="1">
      <c r="A337" s="1">
        <v>336</v>
      </c>
      <c r="B337" s="1" t="s">
        <v>228</v>
      </c>
      <c r="C337" s="1" t="s">
        <v>229</v>
      </c>
      <c r="D337" s="1" t="s">
        <v>238</v>
      </c>
      <c r="E337" s="1" t="s">
        <v>236</v>
      </c>
      <c r="F337" s="1" t="s">
        <v>239</v>
      </c>
      <c r="G337" s="1" t="s">
        <v>232</v>
      </c>
      <c r="H337" s="1" t="s">
        <v>234</v>
      </c>
      <c r="I337" s="1" t="s">
        <v>235</v>
      </c>
      <c r="J337" s="1" t="str">
        <f t="shared" si="1"/>
        <v>110110010111</v>
      </c>
    </row>
    <row r="338" spans="1:10" ht="15.75" customHeight="1">
      <c r="A338" s="1">
        <v>337</v>
      </c>
      <c r="B338" s="1" t="s">
        <v>228</v>
      </c>
      <c r="C338" s="1" t="s">
        <v>230</v>
      </c>
      <c r="D338" s="1" t="s">
        <v>238</v>
      </c>
      <c r="E338" s="1" t="s">
        <v>236</v>
      </c>
      <c r="F338" s="1" t="s">
        <v>239</v>
      </c>
      <c r="G338" s="1" t="s">
        <v>232</v>
      </c>
      <c r="H338" s="1" t="s">
        <v>234</v>
      </c>
      <c r="I338" s="1" t="s">
        <v>235</v>
      </c>
      <c r="J338" s="1" t="str">
        <f t="shared" si="1"/>
        <v>110110011011</v>
      </c>
    </row>
    <row r="339" spans="1:10" ht="15.75" customHeight="1">
      <c r="A339" s="1">
        <v>338</v>
      </c>
      <c r="B339" s="1" t="s">
        <v>228</v>
      </c>
      <c r="C339" s="1" t="s">
        <v>229</v>
      </c>
      <c r="D339" s="1" t="s">
        <v>238</v>
      </c>
      <c r="E339" s="1" t="s">
        <v>236</v>
      </c>
      <c r="F339" s="1" t="s">
        <v>239</v>
      </c>
      <c r="G339" s="1" t="s">
        <v>232</v>
      </c>
      <c r="H339" s="1" t="s">
        <v>234</v>
      </c>
      <c r="I339" s="1" t="s">
        <v>230</v>
      </c>
      <c r="J339" s="1" t="str">
        <f t="shared" si="1"/>
        <v>110110011101</v>
      </c>
    </row>
    <row r="340" spans="1:10" ht="15.75" customHeight="1">
      <c r="A340" s="1">
        <v>339</v>
      </c>
      <c r="B340" s="1" t="s">
        <v>228</v>
      </c>
      <c r="C340" s="1" t="s">
        <v>229</v>
      </c>
      <c r="D340" s="1" t="s">
        <v>238</v>
      </c>
      <c r="E340" s="1" t="s">
        <v>236</v>
      </c>
      <c r="F340" s="1" t="s">
        <v>239</v>
      </c>
      <c r="G340" s="1" t="s">
        <v>232</v>
      </c>
      <c r="H340" s="1" t="s">
        <v>230</v>
      </c>
      <c r="I340" s="1" t="s">
        <v>235</v>
      </c>
      <c r="J340" s="1" t="str">
        <f t="shared" si="1"/>
        <v>110110011110</v>
      </c>
    </row>
    <row r="341" spans="1:10" ht="15.75" customHeight="1">
      <c r="A341" s="1">
        <v>340</v>
      </c>
      <c r="B341" s="1" t="s">
        <v>228</v>
      </c>
      <c r="C341" s="1" t="s">
        <v>229</v>
      </c>
      <c r="D341" s="1" t="s">
        <v>238</v>
      </c>
      <c r="E341" s="1" t="s">
        <v>236</v>
      </c>
      <c r="F341" s="1" t="s">
        <v>239</v>
      </c>
      <c r="G341" s="1" t="s">
        <v>233</v>
      </c>
      <c r="H341" s="1" t="s">
        <v>234</v>
      </c>
      <c r="I341" s="1" t="s">
        <v>235</v>
      </c>
      <c r="J341" s="1" t="str">
        <f t="shared" si="1"/>
        <v>110110100111</v>
      </c>
    </row>
    <row r="342" spans="1:10" ht="15.75" customHeight="1">
      <c r="A342" s="1">
        <v>341</v>
      </c>
      <c r="B342" s="1" t="s">
        <v>228</v>
      </c>
      <c r="C342" s="1" t="s">
        <v>233</v>
      </c>
      <c r="D342" s="1" t="s">
        <v>238</v>
      </c>
      <c r="E342" s="1" t="s">
        <v>239</v>
      </c>
      <c r="F342" s="1" t="s">
        <v>230</v>
      </c>
      <c r="G342" s="1" t="s">
        <v>236</v>
      </c>
      <c r="H342" s="1" t="s">
        <v>234</v>
      </c>
      <c r="I342" s="1" t="s">
        <v>235</v>
      </c>
      <c r="J342" s="1" t="str">
        <f t="shared" si="1"/>
        <v>110110101011</v>
      </c>
    </row>
    <row r="343" spans="1:10" ht="15.75" customHeight="1">
      <c r="A343" s="1">
        <v>342</v>
      </c>
      <c r="B343" s="1" t="s">
        <v>228</v>
      </c>
      <c r="C343" s="1" t="s">
        <v>229</v>
      </c>
      <c r="D343" s="1" t="s">
        <v>238</v>
      </c>
      <c r="E343" s="1" t="s">
        <v>236</v>
      </c>
      <c r="F343" s="1" t="s">
        <v>239</v>
      </c>
      <c r="G343" s="1" t="s">
        <v>233</v>
      </c>
      <c r="H343" s="1" t="s">
        <v>234</v>
      </c>
      <c r="I343" s="1" t="s">
        <v>230</v>
      </c>
      <c r="J343" s="1" t="str">
        <f t="shared" si="1"/>
        <v>110110101101</v>
      </c>
    </row>
    <row r="344" spans="1:10" ht="15.75" customHeight="1">
      <c r="A344" s="1">
        <v>343</v>
      </c>
      <c r="B344" s="1" t="s">
        <v>228</v>
      </c>
      <c r="C344" s="1" t="s">
        <v>229</v>
      </c>
      <c r="D344" s="1" t="s">
        <v>238</v>
      </c>
      <c r="E344" s="1" t="s">
        <v>236</v>
      </c>
      <c r="F344" s="1" t="s">
        <v>239</v>
      </c>
      <c r="G344" s="1" t="s">
        <v>233</v>
      </c>
      <c r="H344" s="1" t="s">
        <v>230</v>
      </c>
      <c r="I344" s="1" t="s">
        <v>235</v>
      </c>
      <c r="J344" s="1" t="str">
        <f t="shared" si="1"/>
        <v>110110101110</v>
      </c>
    </row>
    <row r="345" spans="1:10" ht="15.75" customHeight="1">
      <c r="A345" s="1">
        <v>344</v>
      </c>
      <c r="B345" s="1" t="s">
        <v>228</v>
      </c>
      <c r="C345" s="1" t="s">
        <v>233</v>
      </c>
      <c r="D345" s="1" t="s">
        <v>238</v>
      </c>
      <c r="E345" s="1" t="s">
        <v>236</v>
      </c>
      <c r="F345" s="1" t="s">
        <v>239</v>
      </c>
      <c r="G345" s="1" t="s">
        <v>232</v>
      </c>
      <c r="H345" s="1" t="s">
        <v>234</v>
      </c>
      <c r="I345" s="1" t="s">
        <v>235</v>
      </c>
      <c r="J345" s="1" t="str">
        <f t="shared" si="1"/>
        <v>110110110011</v>
      </c>
    </row>
    <row r="346" spans="1:10" ht="15.75" customHeight="1">
      <c r="A346" s="1">
        <v>345</v>
      </c>
      <c r="B346" s="1" t="s">
        <v>232</v>
      </c>
      <c r="C346" s="1" t="s">
        <v>229</v>
      </c>
      <c r="D346" s="1" t="s">
        <v>238</v>
      </c>
      <c r="E346" s="1" t="s">
        <v>236</v>
      </c>
      <c r="F346" s="1" t="s">
        <v>239</v>
      </c>
      <c r="G346" s="1" t="s">
        <v>233</v>
      </c>
      <c r="H346" s="1" t="s">
        <v>234</v>
      </c>
      <c r="I346" s="1" t="s">
        <v>228</v>
      </c>
      <c r="J346" s="1" t="str">
        <f t="shared" si="1"/>
        <v>110110110101</v>
      </c>
    </row>
    <row r="347" spans="1:10" ht="15.75" customHeight="1">
      <c r="A347" s="1">
        <v>346</v>
      </c>
      <c r="B347" s="1" t="s">
        <v>232</v>
      </c>
      <c r="C347" s="1" t="s">
        <v>229</v>
      </c>
      <c r="D347" s="1" t="s">
        <v>238</v>
      </c>
      <c r="E347" s="1" t="s">
        <v>236</v>
      </c>
      <c r="F347" s="1" t="s">
        <v>239</v>
      </c>
      <c r="G347" s="1" t="s">
        <v>233</v>
      </c>
      <c r="H347" s="1" t="s">
        <v>228</v>
      </c>
      <c r="I347" s="1" t="s">
        <v>235</v>
      </c>
      <c r="J347" s="1" t="str">
        <f t="shared" si="1"/>
        <v>110110110110</v>
      </c>
    </row>
    <row r="348" spans="1:10" ht="15.75" customHeight="1">
      <c r="A348" s="1">
        <v>347</v>
      </c>
      <c r="B348" s="1" t="s">
        <v>228</v>
      </c>
      <c r="C348" s="1" t="s">
        <v>233</v>
      </c>
      <c r="D348" s="1" t="s">
        <v>238</v>
      </c>
      <c r="E348" s="1" t="s">
        <v>236</v>
      </c>
      <c r="F348" s="1" t="s">
        <v>239</v>
      </c>
      <c r="G348" s="1" t="s">
        <v>232</v>
      </c>
      <c r="H348" s="1" t="s">
        <v>234</v>
      </c>
      <c r="I348" s="1" t="s">
        <v>230</v>
      </c>
      <c r="J348" s="1" t="str">
        <f t="shared" si="1"/>
        <v>110110111001</v>
      </c>
    </row>
    <row r="349" spans="1:10" ht="15.75" customHeight="1">
      <c r="A349" s="1">
        <v>348</v>
      </c>
      <c r="B349" s="1" t="s">
        <v>228</v>
      </c>
      <c r="C349" s="1" t="s">
        <v>233</v>
      </c>
      <c r="D349" s="1" t="s">
        <v>238</v>
      </c>
      <c r="E349" s="1" t="s">
        <v>236</v>
      </c>
      <c r="F349" s="1" t="s">
        <v>239</v>
      </c>
      <c r="G349" s="1" t="s">
        <v>232</v>
      </c>
      <c r="H349" s="1" t="s">
        <v>230</v>
      </c>
      <c r="I349" s="1" t="s">
        <v>235</v>
      </c>
      <c r="J349" s="1" t="str">
        <f t="shared" si="1"/>
        <v>110110111010</v>
      </c>
    </row>
    <row r="350" spans="1:10" ht="15.75" customHeight="1">
      <c r="A350" s="1">
        <v>349</v>
      </c>
      <c r="B350" s="1" t="s">
        <v>232</v>
      </c>
      <c r="C350" s="1" t="s">
        <v>229</v>
      </c>
      <c r="D350" s="1" t="s">
        <v>238</v>
      </c>
      <c r="E350" s="1" t="s">
        <v>236</v>
      </c>
      <c r="F350" s="1" t="s">
        <v>239</v>
      </c>
      <c r="G350" s="1" t="s">
        <v>233</v>
      </c>
      <c r="H350" s="1" t="s">
        <v>228</v>
      </c>
      <c r="I350" s="1" t="s">
        <v>230</v>
      </c>
      <c r="J350" s="1" t="str">
        <f t="shared" si="1"/>
        <v>110110111100</v>
      </c>
    </row>
    <row r="351" spans="1:10" ht="15.75" customHeight="1">
      <c r="A351" s="1">
        <v>350</v>
      </c>
      <c r="B351" s="1" t="s">
        <v>228</v>
      </c>
      <c r="C351" s="1" t="s">
        <v>229</v>
      </c>
      <c r="D351" s="1" t="s">
        <v>238</v>
      </c>
      <c r="E351" s="1" t="s">
        <v>236</v>
      </c>
      <c r="F351" s="1" t="s">
        <v>239</v>
      </c>
      <c r="G351" s="1" t="s">
        <v>231</v>
      </c>
      <c r="H351" s="1" t="s">
        <v>234</v>
      </c>
      <c r="I351" s="1" t="s">
        <v>235</v>
      </c>
      <c r="J351" s="1" t="str">
        <f t="shared" si="1"/>
        <v>110111000111</v>
      </c>
    </row>
    <row r="352" spans="1:10" ht="15.75" customHeight="1">
      <c r="A352" s="1">
        <v>351</v>
      </c>
      <c r="B352" s="1" t="s">
        <v>228</v>
      </c>
      <c r="C352" s="1" t="s">
        <v>230</v>
      </c>
      <c r="D352" s="1" t="s">
        <v>238</v>
      </c>
      <c r="E352" s="1" t="s">
        <v>236</v>
      </c>
      <c r="F352" s="1" t="s">
        <v>239</v>
      </c>
      <c r="G352" s="1" t="s">
        <v>231</v>
      </c>
      <c r="H352" s="1" t="s">
        <v>234</v>
      </c>
      <c r="I352" s="1" t="s">
        <v>235</v>
      </c>
      <c r="J352" s="1" t="str">
        <f t="shared" si="1"/>
        <v>110111001011</v>
      </c>
    </row>
    <row r="353" spans="1:10" ht="15.75" customHeight="1">
      <c r="A353" s="1">
        <v>352</v>
      </c>
      <c r="B353" s="1" t="s">
        <v>228</v>
      </c>
      <c r="C353" s="1" t="s">
        <v>229</v>
      </c>
      <c r="D353" s="1" t="s">
        <v>238</v>
      </c>
      <c r="E353" s="1" t="s">
        <v>236</v>
      </c>
      <c r="F353" s="1" t="s">
        <v>239</v>
      </c>
      <c r="G353" s="1" t="s">
        <v>231</v>
      </c>
      <c r="H353" s="1" t="s">
        <v>234</v>
      </c>
      <c r="I353" s="1" t="s">
        <v>230</v>
      </c>
      <c r="J353" s="1" t="str">
        <f t="shared" si="1"/>
        <v>110111001101</v>
      </c>
    </row>
    <row r="354" spans="1:10" ht="15.75" customHeight="1">
      <c r="A354" s="1">
        <v>353</v>
      </c>
      <c r="B354" s="1" t="s">
        <v>228</v>
      </c>
      <c r="C354" s="1" t="s">
        <v>229</v>
      </c>
      <c r="D354" s="1" t="s">
        <v>238</v>
      </c>
      <c r="E354" s="1" t="s">
        <v>236</v>
      </c>
      <c r="F354" s="1" t="s">
        <v>239</v>
      </c>
      <c r="G354" s="1" t="s">
        <v>231</v>
      </c>
      <c r="H354" s="1" t="s">
        <v>230</v>
      </c>
      <c r="I354" s="1" t="s">
        <v>235</v>
      </c>
      <c r="J354" s="1" t="str">
        <f t="shared" si="1"/>
        <v>110111001110</v>
      </c>
    </row>
    <row r="355" spans="1:10" ht="15.75" customHeight="1">
      <c r="A355" s="1">
        <v>354</v>
      </c>
      <c r="B355" s="1" t="s">
        <v>232</v>
      </c>
      <c r="C355" s="1" t="s">
        <v>228</v>
      </c>
      <c r="D355" s="1" t="s">
        <v>238</v>
      </c>
      <c r="E355" s="1" t="s">
        <v>236</v>
      </c>
      <c r="F355" s="1" t="s">
        <v>239</v>
      </c>
      <c r="G355" s="1" t="s">
        <v>231</v>
      </c>
      <c r="H355" s="1" t="s">
        <v>234</v>
      </c>
      <c r="I355" s="1" t="s">
        <v>235</v>
      </c>
      <c r="J355" s="1" t="str">
        <f t="shared" si="1"/>
        <v>110111010011</v>
      </c>
    </row>
    <row r="356" spans="1:10" ht="15.75" customHeight="1">
      <c r="A356" s="1">
        <v>355</v>
      </c>
      <c r="B356" s="1" t="s">
        <v>232</v>
      </c>
      <c r="C356" s="1" t="s">
        <v>229</v>
      </c>
      <c r="D356" s="1" t="s">
        <v>238</v>
      </c>
      <c r="E356" s="1" t="s">
        <v>236</v>
      </c>
      <c r="F356" s="1" t="s">
        <v>239</v>
      </c>
      <c r="G356" s="1" t="s">
        <v>231</v>
      </c>
      <c r="H356" s="1" t="s">
        <v>234</v>
      </c>
      <c r="I356" s="1" t="s">
        <v>228</v>
      </c>
      <c r="J356" s="1" t="str">
        <f t="shared" si="1"/>
        <v>110111010101</v>
      </c>
    </row>
    <row r="357" spans="1:10" ht="15.75" customHeight="1">
      <c r="A357" s="1">
        <v>356</v>
      </c>
      <c r="B357" s="1" t="s">
        <v>232</v>
      </c>
      <c r="C357" s="1" t="s">
        <v>229</v>
      </c>
      <c r="D357" s="1" t="s">
        <v>238</v>
      </c>
      <c r="E357" s="1" t="s">
        <v>236</v>
      </c>
      <c r="F357" s="1" t="s">
        <v>239</v>
      </c>
      <c r="G357" s="1" t="s">
        <v>231</v>
      </c>
      <c r="H357" s="1" t="s">
        <v>228</v>
      </c>
      <c r="I357" s="1" t="s">
        <v>235</v>
      </c>
      <c r="J357" s="1" t="str">
        <f t="shared" si="1"/>
        <v>110111010110</v>
      </c>
    </row>
    <row r="358" spans="1:10" ht="15.75" customHeight="1">
      <c r="A358" s="1">
        <v>357</v>
      </c>
      <c r="B358" s="1" t="s">
        <v>232</v>
      </c>
      <c r="C358" s="1" t="s">
        <v>228</v>
      </c>
      <c r="D358" s="1" t="s">
        <v>238</v>
      </c>
      <c r="E358" s="1" t="s">
        <v>236</v>
      </c>
      <c r="F358" s="1" t="s">
        <v>239</v>
      </c>
      <c r="G358" s="1" t="s">
        <v>231</v>
      </c>
      <c r="H358" s="1" t="s">
        <v>234</v>
      </c>
      <c r="I358" s="1" t="s">
        <v>230</v>
      </c>
      <c r="J358" s="1" t="str">
        <f t="shared" si="1"/>
        <v>110111011001</v>
      </c>
    </row>
    <row r="359" spans="1:10" ht="15.75" customHeight="1">
      <c r="A359" s="1">
        <v>358</v>
      </c>
      <c r="B359" s="1" t="s">
        <v>232</v>
      </c>
      <c r="C359" s="1" t="s">
        <v>228</v>
      </c>
      <c r="D359" s="1" t="s">
        <v>238</v>
      </c>
      <c r="E359" s="1" t="s">
        <v>236</v>
      </c>
      <c r="F359" s="1" t="s">
        <v>239</v>
      </c>
      <c r="G359" s="1" t="s">
        <v>231</v>
      </c>
      <c r="H359" s="1" t="s">
        <v>230</v>
      </c>
      <c r="I359" s="1" t="s">
        <v>235</v>
      </c>
      <c r="J359" s="1" t="str">
        <f t="shared" si="1"/>
        <v>110111011010</v>
      </c>
    </row>
    <row r="360" spans="1:10" ht="15.75" customHeight="1">
      <c r="A360" s="1">
        <v>359</v>
      </c>
      <c r="B360" s="1" t="s">
        <v>232</v>
      </c>
      <c r="C360" s="1" t="s">
        <v>229</v>
      </c>
      <c r="D360" s="1" t="s">
        <v>238</v>
      </c>
      <c r="E360" s="1" t="s">
        <v>236</v>
      </c>
      <c r="F360" s="1" t="s">
        <v>239</v>
      </c>
      <c r="G360" s="1" t="s">
        <v>231</v>
      </c>
      <c r="H360" s="1" t="s">
        <v>228</v>
      </c>
      <c r="I360" s="1" t="s">
        <v>230</v>
      </c>
      <c r="J360" s="1" t="str">
        <f t="shared" si="1"/>
        <v>110111011100</v>
      </c>
    </row>
    <row r="361" spans="1:10" ht="15.75" customHeight="1">
      <c r="A361" s="1">
        <v>360</v>
      </c>
      <c r="B361" s="1" t="s">
        <v>228</v>
      </c>
      <c r="C361" s="1" t="s">
        <v>233</v>
      </c>
      <c r="D361" s="1" t="s">
        <v>238</v>
      </c>
      <c r="E361" s="1" t="s">
        <v>236</v>
      </c>
      <c r="F361" s="1" t="s">
        <v>239</v>
      </c>
      <c r="G361" s="1" t="s">
        <v>231</v>
      </c>
      <c r="H361" s="1" t="s">
        <v>234</v>
      </c>
      <c r="I361" s="1" t="s">
        <v>235</v>
      </c>
      <c r="J361" s="1" t="str">
        <f t="shared" si="1"/>
        <v>110111100011</v>
      </c>
    </row>
    <row r="362" spans="1:10" ht="15.75" customHeight="1">
      <c r="A362" s="1">
        <v>361</v>
      </c>
      <c r="B362" s="1" t="s">
        <v>228</v>
      </c>
      <c r="C362" s="1" t="s">
        <v>233</v>
      </c>
      <c r="D362" s="1" t="s">
        <v>238</v>
      </c>
      <c r="E362" s="1" t="s">
        <v>236</v>
      </c>
      <c r="F362" s="1" t="s">
        <v>239</v>
      </c>
      <c r="G362" s="1" t="s">
        <v>231</v>
      </c>
      <c r="H362" s="1" t="s">
        <v>234</v>
      </c>
      <c r="I362" s="1" t="s">
        <v>229</v>
      </c>
      <c r="J362" s="1" t="str">
        <f t="shared" si="1"/>
        <v>110111100101</v>
      </c>
    </row>
    <row r="363" spans="1:10" ht="15.75" customHeight="1">
      <c r="A363" s="1">
        <v>362</v>
      </c>
      <c r="B363" s="1" t="s">
        <v>228</v>
      </c>
      <c r="C363" s="1" t="s">
        <v>233</v>
      </c>
      <c r="D363" s="1" t="s">
        <v>238</v>
      </c>
      <c r="E363" s="1" t="s">
        <v>236</v>
      </c>
      <c r="F363" s="1" t="s">
        <v>239</v>
      </c>
      <c r="G363" s="1" t="s">
        <v>231</v>
      </c>
      <c r="H363" s="1" t="s">
        <v>229</v>
      </c>
      <c r="I363" s="1" t="s">
        <v>235</v>
      </c>
      <c r="J363" s="1" t="str">
        <f t="shared" si="1"/>
        <v>110111100110</v>
      </c>
    </row>
    <row r="364" spans="1:10" ht="15.75" customHeight="1">
      <c r="A364" s="1">
        <v>363</v>
      </c>
      <c r="B364" s="1" t="s">
        <v>228</v>
      </c>
      <c r="C364" s="1" t="s">
        <v>233</v>
      </c>
      <c r="D364" s="1" t="s">
        <v>238</v>
      </c>
      <c r="E364" s="1" t="s">
        <v>236</v>
      </c>
      <c r="F364" s="1" t="s">
        <v>239</v>
      </c>
      <c r="G364" s="1" t="s">
        <v>231</v>
      </c>
      <c r="H364" s="1" t="s">
        <v>234</v>
      </c>
      <c r="I364" s="1" t="s">
        <v>230</v>
      </c>
      <c r="J364" s="1" t="str">
        <f t="shared" si="1"/>
        <v>110111101001</v>
      </c>
    </row>
    <row r="365" spans="1:10" ht="15.75" customHeight="1">
      <c r="A365" s="1">
        <v>364</v>
      </c>
      <c r="B365" s="1" t="s">
        <v>228</v>
      </c>
      <c r="C365" s="1" t="s">
        <v>233</v>
      </c>
      <c r="D365" s="1" t="s">
        <v>238</v>
      </c>
      <c r="E365" s="1" t="s">
        <v>236</v>
      </c>
      <c r="F365" s="1" t="s">
        <v>239</v>
      </c>
      <c r="G365" s="1" t="s">
        <v>231</v>
      </c>
      <c r="H365" s="1" t="s">
        <v>230</v>
      </c>
      <c r="I365" s="1" t="s">
        <v>235</v>
      </c>
      <c r="J365" s="1" t="str">
        <f t="shared" si="1"/>
        <v>110111101010</v>
      </c>
    </row>
    <row r="366" spans="1:10" ht="15.75" customHeight="1">
      <c r="A366" s="1">
        <v>365</v>
      </c>
      <c r="B366" s="1" t="s">
        <v>228</v>
      </c>
      <c r="C366" s="1" t="s">
        <v>233</v>
      </c>
      <c r="D366" s="1" t="s">
        <v>238</v>
      </c>
      <c r="E366" s="1" t="s">
        <v>236</v>
      </c>
      <c r="F366" s="1" t="s">
        <v>239</v>
      </c>
      <c r="G366" s="1" t="s">
        <v>231</v>
      </c>
      <c r="H366" s="1" t="s">
        <v>230</v>
      </c>
      <c r="I366" s="1" t="s">
        <v>229</v>
      </c>
      <c r="J366" s="1" t="str">
        <f t="shared" si="1"/>
        <v>110111101100</v>
      </c>
    </row>
    <row r="367" spans="1:10" ht="15.75" customHeight="1">
      <c r="A367" s="1">
        <v>366</v>
      </c>
      <c r="B367" s="1" t="s">
        <v>232</v>
      </c>
      <c r="C367" s="1" t="s">
        <v>233</v>
      </c>
      <c r="D367" s="1" t="s">
        <v>238</v>
      </c>
      <c r="E367" s="1" t="s">
        <v>236</v>
      </c>
      <c r="F367" s="1" t="s">
        <v>239</v>
      </c>
      <c r="G367" s="1" t="s">
        <v>231</v>
      </c>
      <c r="H367" s="1" t="s">
        <v>234</v>
      </c>
      <c r="I367" s="1" t="s">
        <v>228</v>
      </c>
      <c r="J367" s="1" t="str">
        <f t="shared" si="1"/>
        <v>110111110001</v>
      </c>
    </row>
    <row r="368" spans="1:10" ht="15.75" customHeight="1">
      <c r="A368" s="1">
        <v>367</v>
      </c>
      <c r="B368" s="1" t="s">
        <v>232</v>
      </c>
      <c r="C368" s="1" t="s">
        <v>233</v>
      </c>
      <c r="D368" s="1" t="s">
        <v>238</v>
      </c>
      <c r="E368" s="1" t="s">
        <v>236</v>
      </c>
      <c r="F368" s="1" t="s">
        <v>239</v>
      </c>
      <c r="G368" s="1" t="s">
        <v>231</v>
      </c>
      <c r="H368" s="1" t="s">
        <v>228</v>
      </c>
      <c r="I368" s="1" t="s">
        <v>235</v>
      </c>
      <c r="J368" s="1" t="str">
        <f t="shared" si="1"/>
        <v>110111110010</v>
      </c>
    </row>
    <row r="369" spans="1:10" ht="15.75" customHeight="1">
      <c r="A369" s="1">
        <v>368</v>
      </c>
      <c r="B369" s="1" t="s">
        <v>232</v>
      </c>
      <c r="C369" s="1" t="s">
        <v>233</v>
      </c>
      <c r="D369" s="1" t="s">
        <v>238</v>
      </c>
      <c r="E369" s="1" t="s">
        <v>236</v>
      </c>
      <c r="F369" s="1" t="s">
        <v>239</v>
      </c>
      <c r="G369" s="1" t="s">
        <v>231</v>
      </c>
      <c r="H369" s="1" t="s">
        <v>228</v>
      </c>
      <c r="I369" s="1" t="s">
        <v>229</v>
      </c>
      <c r="J369" s="1" t="str">
        <f t="shared" si="1"/>
        <v>110111110100</v>
      </c>
    </row>
    <row r="370" spans="1:10" ht="15.75" customHeight="1">
      <c r="A370" s="1">
        <v>369</v>
      </c>
      <c r="B370" s="1" t="s">
        <v>232</v>
      </c>
      <c r="C370" s="1" t="s">
        <v>233</v>
      </c>
      <c r="D370" s="1" t="s">
        <v>238</v>
      </c>
      <c r="E370" s="1" t="s">
        <v>236</v>
      </c>
      <c r="F370" s="1" t="s">
        <v>239</v>
      </c>
      <c r="G370" s="1" t="s">
        <v>231</v>
      </c>
      <c r="H370" s="1" t="s">
        <v>228</v>
      </c>
      <c r="I370" s="1" t="s">
        <v>230</v>
      </c>
      <c r="J370" s="1" t="str">
        <f t="shared" si="1"/>
        <v>110111111000</v>
      </c>
    </row>
    <row r="371" spans="1:10" ht="15.75" customHeight="1">
      <c r="A371" s="1">
        <v>370</v>
      </c>
      <c r="B371" s="1" t="s">
        <v>230</v>
      </c>
      <c r="C371" s="1" t="s">
        <v>229</v>
      </c>
      <c r="D371" s="1" t="s">
        <v>238</v>
      </c>
      <c r="E371" s="1" t="s">
        <v>237</v>
      </c>
      <c r="F371" s="1" t="s">
        <v>239</v>
      </c>
      <c r="G371" s="1" t="s">
        <v>232</v>
      </c>
      <c r="H371" s="1" t="s">
        <v>234</v>
      </c>
      <c r="I371" s="1" t="s">
        <v>235</v>
      </c>
      <c r="J371" s="1" t="str">
        <f t="shared" si="1"/>
        <v>111000011111</v>
      </c>
    </row>
    <row r="372" spans="1:10" ht="15.75" customHeight="1">
      <c r="A372" s="1">
        <v>371</v>
      </c>
      <c r="B372" s="1" t="s">
        <v>230</v>
      </c>
      <c r="C372" s="1" t="s">
        <v>229</v>
      </c>
      <c r="D372" s="1" t="s">
        <v>238</v>
      </c>
      <c r="E372" s="1" t="s">
        <v>237</v>
      </c>
      <c r="F372" s="1" t="s">
        <v>239</v>
      </c>
      <c r="G372" s="1" t="s">
        <v>233</v>
      </c>
      <c r="H372" s="1" t="s">
        <v>234</v>
      </c>
      <c r="I372" s="1" t="s">
        <v>235</v>
      </c>
      <c r="J372" s="1" t="str">
        <f t="shared" si="1"/>
        <v>111000101111</v>
      </c>
    </row>
    <row r="373" spans="1:10" ht="15.75" customHeight="1">
      <c r="A373" s="1">
        <v>372</v>
      </c>
      <c r="B373" s="1" t="s">
        <v>232</v>
      </c>
      <c r="C373" s="1" t="s">
        <v>229</v>
      </c>
      <c r="D373" s="1" t="s">
        <v>238</v>
      </c>
      <c r="E373" s="1" t="s">
        <v>237</v>
      </c>
      <c r="F373" s="1" t="s">
        <v>239</v>
      </c>
      <c r="G373" s="1" t="s">
        <v>233</v>
      </c>
      <c r="H373" s="1" t="s">
        <v>234</v>
      </c>
      <c r="I373" s="1" t="s">
        <v>235</v>
      </c>
      <c r="J373" s="1" t="str">
        <f t="shared" si="1"/>
        <v>111000110111</v>
      </c>
    </row>
    <row r="374" spans="1:10" ht="15.75" customHeight="1">
      <c r="A374" s="1">
        <v>373</v>
      </c>
      <c r="B374" s="1" t="s">
        <v>230</v>
      </c>
      <c r="C374" s="1" t="s">
        <v>233</v>
      </c>
      <c r="D374" s="1" t="s">
        <v>238</v>
      </c>
      <c r="E374" s="1" t="s">
        <v>237</v>
      </c>
      <c r="F374" s="1" t="s">
        <v>239</v>
      </c>
      <c r="G374" s="1" t="s">
        <v>232</v>
      </c>
      <c r="H374" s="1" t="s">
        <v>234</v>
      </c>
      <c r="I374" s="1" t="s">
        <v>235</v>
      </c>
      <c r="J374" s="1" t="str">
        <f t="shared" si="1"/>
        <v>111000111011</v>
      </c>
    </row>
    <row r="375" spans="1:10" ht="15.75" customHeight="1">
      <c r="A375" s="1">
        <v>374</v>
      </c>
      <c r="B375" s="1" t="s">
        <v>232</v>
      </c>
      <c r="C375" s="1" t="s">
        <v>229</v>
      </c>
      <c r="D375" s="1" t="s">
        <v>238</v>
      </c>
      <c r="E375" s="1" t="s">
        <v>237</v>
      </c>
      <c r="F375" s="1" t="s">
        <v>239</v>
      </c>
      <c r="G375" s="1" t="s">
        <v>233</v>
      </c>
      <c r="H375" s="1" t="s">
        <v>234</v>
      </c>
      <c r="I375" s="1" t="s">
        <v>230</v>
      </c>
      <c r="J375" s="1" t="str">
        <f t="shared" si="1"/>
        <v>111000111101</v>
      </c>
    </row>
    <row r="376" spans="1:10" ht="15.75" customHeight="1">
      <c r="A376" s="1">
        <v>375</v>
      </c>
      <c r="B376" s="1" t="s">
        <v>232</v>
      </c>
      <c r="C376" s="1" t="s">
        <v>229</v>
      </c>
      <c r="D376" s="1" t="s">
        <v>238</v>
      </c>
      <c r="E376" s="1" t="s">
        <v>237</v>
      </c>
      <c r="F376" s="1" t="s">
        <v>239</v>
      </c>
      <c r="G376" s="1" t="s">
        <v>233</v>
      </c>
      <c r="H376" s="1" t="s">
        <v>230</v>
      </c>
      <c r="I376" s="1" t="s">
        <v>235</v>
      </c>
      <c r="J376" s="1" t="str">
        <f t="shared" si="1"/>
        <v>111000111110</v>
      </c>
    </row>
    <row r="377" spans="1:10" ht="15.75" customHeight="1">
      <c r="A377" s="1">
        <v>376</v>
      </c>
      <c r="B377" s="1" t="s">
        <v>230</v>
      </c>
      <c r="C377" s="1" t="s">
        <v>229</v>
      </c>
      <c r="D377" s="1" t="s">
        <v>238</v>
      </c>
      <c r="E377" s="1" t="s">
        <v>237</v>
      </c>
      <c r="F377" s="1" t="s">
        <v>239</v>
      </c>
      <c r="G377" s="1" t="s">
        <v>231</v>
      </c>
      <c r="H377" s="1" t="s">
        <v>234</v>
      </c>
      <c r="I377" s="1" t="s">
        <v>235</v>
      </c>
      <c r="J377" s="1" t="str">
        <f t="shared" si="1"/>
        <v>111001001111</v>
      </c>
    </row>
    <row r="378" spans="1:10" ht="15.75" customHeight="1">
      <c r="A378" s="1">
        <v>377</v>
      </c>
      <c r="B378" s="1" t="s">
        <v>232</v>
      </c>
      <c r="C378" s="1" t="s">
        <v>229</v>
      </c>
      <c r="D378" s="1" t="s">
        <v>238</v>
      </c>
      <c r="E378" s="1" t="s">
        <v>237</v>
      </c>
      <c r="F378" s="1" t="s">
        <v>239</v>
      </c>
      <c r="G378" s="1" t="s">
        <v>231</v>
      </c>
      <c r="H378" s="1" t="s">
        <v>234</v>
      </c>
      <c r="I378" s="1" t="s">
        <v>235</v>
      </c>
      <c r="J378" s="1" t="str">
        <f t="shared" si="1"/>
        <v>111001010111</v>
      </c>
    </row>
    <row r="379" spans="1:10" ht="15.75" customHeight="1">
      <c r="A379" s="1">
        <v>378</v>
      </c>
      <c r="B379" s="1" t="s">
        <v>232</v>
      </c>
      <c r="C379" s="1" t="s">
        <v>230</v>
      </c>
      <c r="D379" s="1" t="s">
        <v>238</v>
      </c>
      <c r="E379" s="1" t="s">
        <v>237</v>
      </c>
      <c r="F379" s="1" t="s">
        <v>239</v>
      </c>
      <c r="G379" s="1" t="s">
        <v>231</v>
      </c>
      <c r="H379" s="1" t="s">
        <v>234</v>
      </c>
      <c r="I379" s="1" t="s">
        <v>235</v>
      </c>
      <c r="J379" s="1" t="str">
        <f t="shared" si="1"/>
        <v>111001011011</v>
      </c>
    </row>
    <row r="380" spans="1:10" ht="15.75" customHeight="1">
      <c r="A380" s="1">
        <v>379</v>
      </c>
      <c r="B380" s="1" t="s">
        <v>232</v>
      </c>
      <c r="C380" s="1" t="s">
        <v>229</v>
      </c>
      <c r="D380" s="1" t="s">
        <v>238</v>
      </c>
      <c r="E380" s="1" t="s">
        <v>237</v>
      </c>
      <c r="F380" s="1" t="s">
        <v>239</v>
      </c>
      <c r="G380" s="1" t="s">
        <v>231</v>
      </c>
      <c r="H380" s="1" t="s">
        <v>234</v>
      </c>
      <c r="I380" s="1" t="s">
        <v>230</v>
      </c>
      <c r="J380" s="1" t="str">
        <f t="shared" si="1"/>
        <v>111001011101</v>
      </c>
    </row>
    <row r="381" spans="1:10" ht="15.75" customHeight="1">
      <c r="A381" s="1">
        <v>380</v>
      </c>
      <c r="B381" s="1" t="s">
        <v>232</v>
      </c>
      <c r="C381" s="1" t="s">
        <v>229</v>
      </c>
      <c r="D381" s="1" t="s">
        <v>238</v>
      </c>
      <c r="E381" s="1" t="s">
        <v>237</v>
      </c>
      <c r="F381" s="1" t="s">
        <v>239</v>
      </c>
      <c r="G381" s="1" t="s">
        <v>231</v>
      </c>
      <c r="H381" s="1" t="s">
        <v>230</v>
      </c>
      <c r="I381" s="1" t="s">
        <v>235</v>
      </c>
      <c r="J381" s="1" t="str">
        <f t="shared" si="1"/>
        <v>111001011110</v>
      </c>
    </row>
    <row r="382" spans="1:10" ht="15.75" customHeight="1">
      <c r="A382" s="1">
        <v>381</v>
      </c>
      <c r="B382" s="1" t="s">
        <v>237</v>
      </c>
      <c r="C382" s="1" t="s">
        <v>229</v>
      </c>
      <c r="D382" s="1" t="s">
        <v>238</v>
      </c>
      <c r="E382" s="1" t="s">
        <v>231</v>
      </c>
      <c r="F382" s="1" t="s">
        <v>239</v>
      </c>
      <c r="G382" s="1" t="s">
        <v>233</v>
      </c>
      <c r="H382" s="1" t="s">
        <v>234</v>
      </c>
      <c r="I382" s="1" t="s">
        <v>235</v>
      </c>
      <c r="J382" s="1" t="str">
        <f t="shared" si="1"/>
        <v>111001100111</v>
      </c>
    </row>
    <row r="383" spans="1:10" ht="15.75" customHeight="1">
      <c r="A383" s="1">
        <v>382</v>
      </c>
      <c r="B383" s="1" t="s">
        <v>230</v>
      </c>
      <c r="C383" s="1" t="s">
        <v>233</v>
      </c>
      <c r="D383" s="1" t="s">
        <v>238</v>
      </c>
      <c r="E383" s="1" t="s">
        <v>237</v>
      </c>
      <c r="F383" s="1" t="s">
        <v>239</v>
      </c>
      <c r="G383" s="1" t="s">
        <v>231</v>
      </c>
      <c r="H383" s="1" t="s">
        <v>234</v>
      </c>
      <c r="I383" s="1" t="s">
        <v>235</v>
      </c>
      <c r="J383" s="1" t="str">
        <f t="shared" si="1"/>
        <v>111001101011</v>
      </c>
    </row>
    <row r="384" spans="1:10" ht="15.75" customHeight="1">
      <c r="A384" s="1">
        <v>383</v>
      </c>
      <c r="B384" s="1" t="s">
        <v>237</v>
      </c>
      <c r="C384" s="1" t="s">
        <v>229</v>
      </c>
      <c r="D384" s="1" t="s">
        <v>238</v>
      </c>
      <c r="E384" s="1" t="s">
        <v>231</v>
      </c>
      <c r="F384" s="1" t="s">
        <v>239</v>
      </c>
      <c r="G384" s="1" t="s">
        <v>233</v>
      </c>
      <c r="H384" s="1" t="s">
        <v>234</v>
      </c>
      <c r="I384" s="1" t="s">
        <v>230</v>
      </c>
      <c r="J384" s="1" t="str">
        <f t="shared" si="1"/>
        <v>111001101101</v>
      </c>
    </row>
    <row r="385" spans="1:10" ht="15.75" customHeight="1">
      <c r="A385" s="1">
        <v>384</v>
      </c>
      <c r="B385" s="1" t="s">
        <v>237</v>
      </c>
      <c r="C385" s="1" t="s">
        <v>229</v>
      </c>
      <c r="D385" s="1" t="s">
        <v>238</v>
      </c>
      <c r="E385" s="1" t="s">
        <v>231</v>
      </c>
      <c r="F385" s="1" t="s">
        <v>239</v>
      </c>
      <c r="G385" s="1" t="s">
        <v>233</v>
      </c>
      <c r="H385" s="1" t="s">
        <v>230</v>
      </c>
      <c r="I385" s="1" t="s">
        <v>235</v>
      </c>
      <c r="J385" s="1" t="str">
        <f t="shared" si="1"/>
        <v>111001101110</v>
      </c>
    </row>
    <row r="386" spans="1:10" ht="15.75" customHeight="1">
      <c r="A386" s="1">
        <v>385</v>
      </c>
      <c r="B386" s="1" t="s">
        <v>232</v>
      </c>
      <c r="C386" s="1" t="s">
        <v>233</v>
      </c>
      <c r="D386" s="1" t="s">
        <v>238</v>
      </c>
      <c r="E386" s="1" t="s">
        <v>237</v>
      </c>
      <c r="F386" s="1" t="s">
        <v>239</v>
      </c>
      <c r="G386" s="1" t="s">
        <v>231</v>
      </c>
      <c r="H386" s="1" t="s">
        <v>234</v>
      </c>
      <c r="I386" s="1" t="s">
        <v>235</v>
      </c>
      <c r="J386" s="1" t="str">
        <f t="shared" si="1"/>
        <v>111001110011</v>
      </c>
    </row>
    <row r="387" spans="1:10" ht="15.75" customHeight="1">
      <c r="A387" s="1">
        <v>386</v>
      </c>
      <c r="B387" s="1" t="s">
        <v>232</v>
      </c>
      <c r="C387" s="1" t="s">
        <v>233</v>
      </c>
      <c r="D387" s="1" t="s">
        <v>238</v>
      </c>
      <c r="E387" s="1" t="s">
        <v>237</v>
      </c>
      <c r="F387" s="1" t="s">
        <v>239</v>
      </c>
      <c r="G387" s="1" t="s">
        <v>231</v>
      </c>
      <c r="H387" s="1" t="s">
        <v>234</v>
      </c>
      <c r="I387" s="1" t="s">
        <v>229</v>
      </c>
      <c r="J387" s="1" t="str">
        <f t="shared" si="1"/>
        <v>111001110101</v>
      </c>
    </row>
    <row r="388" spans="1:10" ht="15.75" customHeight="1">
      <c r="A388" s="1">
        <v>387</v>
      </c>
      <c r="B388" s="1" t="s">
        <v>232</v>
      </c>
      <c r="C388" s="1" t="s">
        <v>233</v>
      </c>
      <c r="D388" s="1" t="s">
        <v>238</v>
      </c>
      <c r="E388" s="1" t="s">
        <v>237</v>
      </c>
      <c r="F388" s="1" t="s">
        <v>239</v>
      </c>
      <c r="G388" s="1" t="s">
        <v>231</v>
      </c>
      <c r="H388" s="1" t="s">
        <v>229</v>
      </c>
      <c r="I388" s="1" t="s">
        <v>235</v>
      </c>
      <c r="J388" s="1" t="str">
        <f t="shared" si="1"/>
        <v>111001110110</v>
      </c>
    </row>
    <row r="389" spans="1:10" ht="15.75" customHeight="1">
      <c r="A389" s="1">
        <v>388</v>
      </c>
      <c r="B389" s="1" t="s">
        <v>232</v>
      </c>
      <c r="C389" s="1" t="s">
        <v>233</v>
      </c>
      <c r="D389" s="1" t="s">
        <v>238</v>
      </c>
      <c r="E389" s="1" t="s">
        <v>237</v>
      </c>
      <c r="F389" s="1" t="s">
        <v>239</v>
      </c>
      <c r="G389" s="1" t="s">
        <v>231</v>
      </c>
      <c r="H389" s="1" t="s">
        <v>234</v>
      </c>
      <c r="I389" s="1" t="s">
        <v>230</v>
      </c>
      <c r="J389" s="1" t="str">
        <f t="shared" si="1"/>
        <v>111001111001</v>
      </c>
    </row>
    <row r="390" spans="1:10" ht="15.75" customHeight="1">
      <c r="A390" s="1">
        <v>389</v>
      </c>
      <c r="B390" s="1" t="s">
        <v>232</v>
      </c>
      <c r="C390" s="1" t="s">
        <v>233</v>
      </c>
      <c r="D390" s="1" t="s">
        <v>238</v>
      </c>
      <c r="E390" s="1" t="s">
        <v>237</v>
      </c>
      <c r="F390" s="1" t="s">
        <v>239</v>
      </c>
      <c r="G390" s="1" t="s">
        <v>231</v>
      </c>
      <c r="H390" s="1" t="s">
        <v>230</v>
      </c>
      <c r="I390" s="1" t="s">
        <v>235</v>
      </c>
      <c r="J390" s="1" t="str">
        <f t="shared" si="1"/>
        <v>111001111010</v>
      </c>
    </row>
    <row r="391" spans="1:10" ht="15.75" customHeight="1">
      <c r="A391" s="1">
        <v>390</v>
      </c>
      <c r="B391" s="1" t="s">
        <v>232</v>
      </c>
      <c r="C391" s="1" t="s">
        <v>233</v>
      </c>
      <c r="D391" s="1" t="s">
        <v>238</v>
      </c>
      <c r="E391" s="1" t="s">
        <v>237</v>
      </c>
      <c r="F391" s="1" t="s">
        <v>239</v>
      </c>
      <c r="G391" s="1" t="s">
        <v>231</v>
      </c>
      <c r="H391" s="1" t="s">
        <v>230</v>
      </c>
      <c r="I391" s="1" t="s">
        <v>229</v>
      </c>
      <c r="J391" s="1" t="str">
        <f t="shared" si="1"/>
        <v>111001111100</v>
      </c>
    </row>
    <row r="392" spans="1:10" ht="15.75" customHeight="1">
      <c r="A392" s="1">
        <v>391</v>
      </c>
      <c r="B392" s="1" t="s">
        <v>228</v>
      </c>
      <c r="C392" s="1" t="s">
        <v>229</v>
      </c>
      <c r="D392" s="1" t="s">
        <v>238</v>
      </c>
      <c r="E392" s="1" t="s">
        <v>239</v>
      </c>
      <c r="F392" s="1" t="s">
        <v>230</v>
      </c>
      <c r="G392" s="1" t="s">
        <v>237</v>
      </c>
      <c r="H392" s="1" t="s">
        <v>234</v>
      </c>
      <c r="I392" s="1" t="s">
        <v>235</v>
      </c>
      <c r="J392" s="1" t="str">
        <f t="shared" si="1"/>
        <v>111010001111</v>
      </c>
    </row>
    <row r="393" spans="1:10" ht="15.75" customHeight="1">
      <c r="A393" s="1">
        <v>392</v>
      </c>
      <c r="B393" s="1" t="s">
        <v>228</v>
      </c>
      <c r="C393" s="1" t="s">
        <v>229</v>
      </c>
      <c r="D393" s="1" t="s">
        <v>238</v>
      </c>
      <c r="E393" s="1" t="s">
        <v>237</v>
      </c>
      <c r="F393" s="1" t="s">
        <v>239</v>
      </c>
      <c r="G393" s="1" t="s">
        <v>232</v>
      </c>
      <c r="H393" s="1" t="s">
        <v>234</v>
      </c>
      <c r="I393" s="1" t="s">
        <v>235</v>
      </c>
      <c r="J393" s="1" t="str">
        <f t="shared" si="1"/>
        <v>111010010111</v>
      </c>
    </row>
    <row r="394" spans="1:10" ht="15.75" customHeight="1">
      <c r="A394" s="1">
        <v>393</v>
      </c>
      <c r="B394" s="1" t="s">
        <v>228</v>
      </c>
      <c r="C394" s="1" t="s">
        <v>230</v>
      </c>
      <c r="D394" s="1" t="s">
        <v>238</v>
      </c>
      <c r="E394" s="1" t="s">
        <v>237</v>
      </c>
      <c r="F394" s="1" t="s">
        <v>239</v>
      </c>
      <c r="G394" s="1" t="s">
        <v>232</v>
      </c>
      <c r="H394" s="1" t="s">
        <v>234</v>
      </c>
      <c r="I394" s="1" t="s">
        <v>235</v>
      </c>
      <c r="J394" s="1" t="str">
        <f t="shared" si="1"/>
        <v>111010011011</v>
      </c>
    </row>
    <row r="395" spans="1:10" ht="15.75" customHeight="1">
      <c r="A395" s="1">
        <v>394</v>
      </c>
      <c r="B395" s="1" t="s">
        <v>228</v>
      </c>
      <c r="C395" s="1" t="s">
        <v>229</v>
      </c>
      <c r="D395" s="1" t="s">
        <v>238</v>
      </c>
      <c r="E395" s="1" t="s">
        <v>237</v>
      </c>
      <c r="F395" s="1" t="s">
        <v>239</v>
      </c>
      <c r="G395" s="1" t="s">
        <v>232</v>
      </c>
      <c r="H395" s="1" t="s">
        <v>234</v>
      </c>
      <c r="I395" s="1" t="s">
        <v>230</v>
      </c>
      <c r="J395" s="1" t="str">
        <f t="shared" si="1"/>
        <v>111010011101</v>
      </c>
    </row>
    <row r="396" spans="1:10" ht="15.75" customHeight="1">
      <c r="A396" s="1">
        <v>395</v>
      </c>
      <c r="B396" s="1" t="s">
        <v>228</v>
      </c>
      <c r="C396" s="1" t="s">
        <v>229</v>
      </c>
      <c r="D396" s="1" t="s">
        <v>238</v>
      </c>
      <c r="E396" s="1" t="s">
        <v>237</v>
      </c>
      <c r="F396" s="1" t="s">
        <v>239</v>
      </c>
      <c r="G396" s="1" t="s">
        <v>232</v>
      </c>
      <c r="H396" s="1" t="s">
        <v>230</v>
      </c>
      <c r="I396" s="1" t="s">
        <v>235</v>
      </c>
      <c r="J396" s="1" t="str">
        <f t="shared" si="1"/>
        <v>111010011110</v>
      </c>
    </row>
    <row r="397" spans="1:10" ht="15.75" customHeight="1">
      <c r="A397" s="1">
        <v>396</v>
      </c>
      <c r="B397" s="1" t="s">
        <v>228</v>
      </c>
      <c r="C397" s="1" t="s">
        <v>229</v>
      </c>
      <c r="D397" s="1" t="s">
        <v>238</v>
      </c>
      <c r="E397" s="1" t="s">
        <v>237</v>
      </c>
      <c r="F397" s="1" t="s">
        <v>239</v>
      </c>
      <c r="G397" s="1" t="s">
        <v>233</v>
      </c>
      <c r="H397" s="1" t="s">
        <v>234</v>
      </c>
      <c r="I397" s="1" t="s">
        <v>235</v>
      </c>
      <c r="J397" s="1" t="str">
        <f t="shared" si="1"/>
        <v>111010100111</v>
      </c>
    </row>
    <row r="398" spans="1:10" ht="15.75" customHeight="1">
      <c r="A398" s="1">
        <v>397</v>
      </c>
      <c r="B398" s="1" t="s">
        <v>228</v>
      </c>
      <c r="C398" s="1" t="s">
        <v>233</v>
      </c>
      <c r="D398" s="1" t="s">
        <v>238</v>
      </c>
      <c r="E398" s="1" t="s">
        <v>239</v>
      </c>
      <c r="F398" s="1" t="s">
        <v>230</v>
      </c>
      <c r="G398" s="1" t="s">
        <v>237</v>
      </c>
      <c r="H398" s="1" t="s">
        <v>234</v>
      </c>
      <c r="I398" s="1" t="s">
        <v>235</v>
      </c>
      <c r="J398" s="1" t="str">
        <f t="shared" si="1"/>
        <v>111010101011</v>
      </c>
    </row>
    <row r="399" spans="1:10" ht="15.75" customHeight="1">
      <c r="A399" s="1">
        <v>398</v>
      </c>
      <c r="B399" s="1" t="s">
        <v>228</v>
      </c>
      <c r="C399" s="1" t="s">
        <v>229</v>
      </c>
      <c r="D399" s="1" t="s">
        <v>238</v>
      </c>
      <c r="E399" s="1" t="s">
        <v>237</v>
      </c>
      <c r="F399" s="1" t="s">
        <v>239</v>
      </c>
      <c r="G399" s="1" t="s">
        <v>233</v>
      </c>
      <c r="H399" s="1" t="s">
        <v>234</v>
      </c>
      <c r="I399" s="1" t="s">
        <v>230</v>
      </c>
      <c r="J399" s="1" t="str">
        <f t="shared" si="1"/>
        <v>111010101101</v>
      </c>
    </row>
    <row r="400" spans="1:10" ht="15.75" customHeight="1">
      <c r="A400" s="1">
        <v>399</v>
      </c>
      <c r="B400" s="1" t="s">
        <v>228</v>
      </c>
      <c r="C400" s="1" t="s">
        <v>229</v>
      </c>
      <c r="D400" s="1" t="s">
        <v>238</v>
      </c>
      <c r="E400" s="1" t="s">
        <v>237</v>
      </c>
      <c r="F400" s="1" t="s">
        <v>239</v>
      </c>
      <c r="G400" s="1" t="s">
        <v>233</v>
      </c>
      <c r="H400" s="1" t="s">
        <v>230</v>
      </c>
      <c r="I400" s="1" t="s">
        <v>235</v>
      </c>
      <c r="J400" s="1" t="str">
        <f t="shared" si="1"/>
        <v>111010101110</v>
      </c>
    </row>
    <row r="401" spans="1:10" ht="15.75" customHeight="1">
      <c r="A401" s="1">
        <v>400</v>
      </c>
      <c r="B401" s="1" t="s">
        <v>228</v>
      </c>
      <c r="C401" s="1" t="s">
        <v>233</v>
      </c>
      <c r="D401" s="1" t="s">
        <v>238</v>
      </c>
      <c r="E401" s="1" t="s">
        <v>237</v>
      </c>
      <c r="F401" s="1" t="s">
        <v>239</v>
      </c>
      <c r="G401" s="1" t="s">
        <v>232</v>
      </c>
      <c r="H401" s="1" t="s">
        <v>234</v>
      </c>
      <c r="I401" s="1" t="s">
        <v>235</v>
      </c>
      <c r="J401" s="1" t="str">
        <f t="shared" si="1"/>
        <v>111010110011</v>
      </c>
    </row>
    <row r="402" spans="1:10" ht="15.75" customHeight="1">
      <c r="A402" s="1">
        <v>401</v>
      </c>
      <c r="B402" s="1" t="s">
        <v>232</v>
      </c>
      <c r="C402" s="1" t="s">
        <v>229</v>
      </c>
      <c r="D402" s="1" t="s">
        <v>238</v>
      </c>
      <c r="E402" s="1" t="s">
        <v>237</v>
      </c>
      <c r="F402" s="1" t="s">
        <v>239</v>
      </c>
      <c r="G402" s="1" t="s">
        <v>233</v>
      </c>
      <c r="H402" s="1" t="s">
        <v>234</v>
      </c>
      <c r="I402" s="1" t="s">
        <v>228</v>
      </c>
      <c r="J402" s="1" t="str">
        <f t="shared" si="1"/>
        <v>111010110101</v>
      </c>
    </row>
    <row r="403" spans="1:10" ht="15.75" customHeight="1">
      <c r="A403" s="1">
        <v>402</v>
      </c>
      <c r="B403" s="1" t="s">
        <v>232</v>
      </c>
      <c r="C403" s="1" t="s">
        <v>229</v>
      </c>
      <c r="D403" s="1" t="s">
        <v>238</v>
      </c>
      <c r="E403" s="1" t="s">
        <v>237</v>
      </c>
      <c r="F403" s="1" t="s">
        <v>239</v>
      </c>
      <c r="G403" s="1" t="s">
        <v>233</v>
      </c>
      <c r="H403" s="1" t="s">
        <v>228</v>
      </c>
      <c r="I403" s="1" t="s">
        <v>235</v>
      </c>
      <c r="J403" s="1" t="str">
        <f t="shared" si="1"/>
        <v>111010110110</v>
      </c>
    </row>
    <row r="404" spans="1:10" ht="15.75" customHeight="1">
      <c r="A404" s="1">
        <v>403</v>
      </c>
      <c r="B404" s="1" t="s">
        <v>228</v>
      </c>
      <c r="C404" s="1" t="s">
        <v>233</v>
      </c>
      <c r="D404" s="1" t="s">
        <v>238</v>
      </c>
      <c r="E404" s="1" t="s">
        <v>237</v>
      </c>
      <c r="F404" s="1" t="s">
        <v>239</v>
      </c>
      <c r="G404" s="1" t="s">
        <v>232</v>
      </c>
      <c r="H404" s="1" t="s">
        <v>234</v>
      </c>
      <c r="I404" s="1" t="s">
        <v>230</v>
      </c>
      <c r="J404" s="1" t="str">
        <f t="shared" si="1"/>
        <v>111010111001</v>
      </c>
    </row>
    <row r="405" spans="1:10" ht="15.75" customHeight="1">
      <c r="A405" s="1">
        <v>404</v>
      </c>
      <c r="B405" s="1" t="s">
        <v>228</v>
      </c>
      <c r="C405" s="1" t="s">
        <v>233</v>
      </c>
      <c r="D405" s="1" t="s">
        <v>238</v>
      </c>
      <c r="E405" s="1" t="s">
        <v>237</v>
      </c>
      <c r="F405" s="1" t="s">
        <v>239</v>
      </c>
      <c r="G405" s="1" t="s">
        <v>232</v>
      </c>
      <c r="H405" s="1" t="s">
        <v>230</v>
      </c>
      <c r="I405" s="1" t="s">
        <v>235</v>
      </c>
      <c r="J405" s="1" t="str">
        <f t="shared" si="1"/>
        <v>111010111010</v>
      </c>
    </row>
    <row r="406" spans="1:10" ht="15.75" customHeight="1">
      <c r="A406" s="1">
        <v>405</v>
      </c>
      <c r="B406" s="1" t="s">
        <v>232</v>
      </c>
      <c r="C406" s="1" t="s">
        <v>229</v>
      </c>
      <c r="D406" s="1" t="s">
        <v>238</v>
      </c>
      <c r="E406" s="1" t="s">
        <v>237</v>
      </c>
      <c r="F406" s="1" t="s">
        <v>239</v>
      </c>
      <c r="G406" s="1" t="s">
        <v>233</v>
      </c>
      <c r="H406" s="1" t="s">
        <v>228</v>
      </c>
      <c r="I406" s="1" t="s">
        <v>230</v>
      </c>
      <c r="J406" s="1" t="str">
        <f t="shared" si="1"/>
        <v>111010111100</v>
      </c>
    </row>
    <row r="407" spans="1:10" ht="15.75" customHeight="1">
      <c r="A407" s="1">
        <v>406</v>
      </c>
      <c r="B407" s="1" t="s">
        <v>228</v>
      </c>
      <c r="C407" s="1" t="s">
        <v>229</v>
      </c>
      <c r="D407" s="1" t="s">
        <v>238</v>
      </c>
      <c r="E407" s="1" t="s">
        <v>237</v>
      </c>
      <c r="F407" s="1" t="s">
        <v>239</v>
      </c>
      <c r="G407" s="1" t="s">
        <v>231</v>
      </c>
      <c r="H407" s="1" t="s">
        <v>234</v>
      </c>
      <c r="I407" s="1" t="s">
        <v>235</v>
      </c>
      <c r="J407" s="1" t="str">
        <f t="shared" si="1"/>
        <v>111011000111</v>
      </c>
    </row>
    <row r="408" spans="1:10" ht="15.75" customHeight="1">
      <c r="A408" s="1">
        <v>407</v>
      </c>
      <c r="B408" s="1" t="s">
        <v>228</v>
      </c>
      <c r="C408" s="1" t="s">
        <v>230</v>
      </c>
      <c r="D408" s="1" t="s">
        <v>238</v>
      </c>
      <c r="E408" s="1" t="s">
        <v>237</v>
      </c>
      <c r="F408" s="1" t="s">
        <v>239</v>
      </c>
      <c r="G408" s="1" t="s">
        <v>231</v>
      </c>
      <c r="H408" s="1" t="s">
        <v>234</v>
      </c>
      <c r="I408" s="1" t="s">
        <v>235</v>
      </c>
      <c r="J408" s="1" t="str">
        <f t="shared" si="1"/>
        <v>111011001011</v>
      </c>
    </row>
    <row r="409" spans="1:10" ht="15.75" customHeight="1">
      <c r="A409" s="1">
        <v>408</v>
      </c>
      <c r="B409" s="1" t="s">
        <v>228</v>
      </c>
      <c r="C409" s="1" t="s">
        <v>229</v>
      </c>
      <c r="D409" s="1" t="s">
        <v>238</v>
      </c>
      <c r="E409" s="1" t="s">
        <v>237</v>
      </c>
      <c r="F409" s="1" t="s">
        <v>239</v>
      </c>
      <c r="G409" s="1" t="s">
        <v>231</v>
      </c>
      <c r="H409" s="1" t="s">
        <v>234</v>
      </c>
      <c r="I409" s="1" t="s">
        <v>230</v>
      </c>
      <c r="J409" s="1" t="str">
        <f t="shared" si="1"/>
        <v>111011001101</v>
      </c>
    </row>
    <row r="410" spans="1:10" ht="15.75" customHeight="1">
      <c r="A410" s="1">
        <v>409</v>
      </c>
      <c r="B410" s="1" t="s">
        <v>228</v>
      </c>
      <c r="C410" s="1" t="s">
        <v>229</v>
      </c>
      <c r="D410" s="1" t="s">
        <v>238</v>
      </c>
      <c r="E410" s="1" t="s">
        <v>237</v>
      </c>
      <c r="F410" s="1" t="s">
        <v>239</v>
      </c>
      <c r="G410" s="1" t="s">
        <v>231</v>
      </c>
      <c r="H410" s="1" t="s">
        <v>230</v>
      </c>
      <c r="I410" s="1" t="s">
        <v>235</v>
      </c>
      <c r="J410" s="1" t="str">
        <f t="shared" si="1"/>
        <v>111011001110</v>
      </c>
    </row>
    <row r="411" spans="1:10" ht="15.75" customHeight="1">
      <c r="A411" s="1">
        <v>410</v>
      </c>
      <c r="B411" s="1" t="s">
        <v>232</v>
      </c>
      <c r="C411" s="1" t="s">
        <v>228</v>
      </c>
      <c r="D411" s="1" t="s">
        <v>238</v>
      </c>
      <c r="E411" s="1" t="s">
        <v>237</v>
      </c>
      <c r="F411" s="1" t="s">
        <v>239</v>
      </c>
      <c r="G411" s="1" t="s">
        <v>231</v>
      </c>
      <c r="H411" s="1" t="s">
        <v>234</v>
      </c>
      <c r="I411" s="1" t="s">
        <v>235</v>
      </c>
      <c r="J411" s="1" t="str">
        <f t="shared" si="1"/>
        <v>111011010011</v>
      </c>
    </row>
    <row r="412" spans="1:10" ht="15.75" customHeight="1">
      <c r="A412" s="1">
        <v>411</v>
      </c>
      <c r="B412" s="1" t="s">
        <v>232</v>
      </c>
      <c r="C412" s="1" t="s">
        <v>229</v>
      </c>
      <c r="D412" s="1" t="s">
        <v>238</v>
      </c>
      <c r="E412" s="1" t="s">
        <v>237</v>
      </c>
      <c r="F412" s="1" t="s">
        <v>239</v>
      </c>
      <c r="G412" s="1" t="s">
        <v>231</v>
      </c>
      <c r="H412" s="1" t="s">
        <v>234</v>
      </c>
      <c r="I412" s="1" t="s">
        <v>228</v>
      </c>
      <c r="J412" s="1" t="str">
        <f t="shared" si="1"/>
        <v>111011010101</v>
      </c>
    </row>
    <row r="413" spans="1:10" ht="15.75" customHeight="1">
      <c r="A413" s="1">
        <v>412</v>
      </c>
      <c r="B413" s="1" t="s">
        <v>232</v>
      </c>
      <c r="C413" s="1" t="s">
        <v>229</v>
      </c>
      <c r="D413" s="1" t="s">
        <v>238</v>
      </c>
      <c r="E413" s="1" t="s">
        <v>237</v>
      </c>
      <c r="F413" s="1" t="s">
        <v>239</v>
      </c>
      <c r="G413" s="1" t="s">
        <v>231</v>
      </c>
      <c r="H413" s="1" t="s">
        <v>228</v>
      </c>
      <c r="I413" s="1" t="s">
        <v>235</v>
      </c>
      <c r="J413" s="1" t="str">
        <f t="shared" si="1"/>
        <v>111011010110</v>
      </c>
    </row>
    <row r="414" spans="1:10" ht="15.75" customHeight="1">
      <c r="A414" s="1">
        <v>413</v>
      </c>
      <c r="B414" s="1" t="s">
        <v>232</v>
      </c>
      <c r="C414" s="1" t="s">
        <v>228</v>
      </c>
      <c r="D414" s="1" t="s">
        <v>238</v>
      </c>
      <c r="E414" s="1" t="s">
        <v>237</v>
      </c>
      <c r="F414" s="1" t="s">
        <v>239</v>
      </c>
      <c r="G414" s="1" t="s">
        <v>231</v>
      </c>
      <c r="H414" s="1" t="s">
        <v>234</v>
      </c>
      <c r="I414" s="1" t="s">
        <v>230</v>
      </c>
      <c r="J414" s="1" t="str">
        <f t="shared" si="1"/>
        <v>111011011001</v>
      </c>
    </row>
    <row r="415" spans="1:10" ht="15.75" customHeight="1">
      <c r="A415" s="1">
        <v>414</v>
      </c>
      <c r="B415" s="1" t="s">
        <v>232</v>
      </c>
      <c r="C415" s="1" t="s">
        <v>228</v>
      </c>
      <c r="D415" s="1" t="s">
        <v>238</v>
      </c>
      <c r="E415" s="1" t="s">
        <v>237</v>
      </c>
      <c r="F415" s="1" t="s">
        <v>239</v>
      </c>
      <c r="G415" s="1" t="s">
        <v>231</v>
      </c>
      <c r="H415" s="1" t="s">
        <v>230</v>
      </c>
      <c r="I415" s="1" t="s">
        <v>235</v>
      </c>
      <c r="J415" s="1" t="str">
        <f t="shared" si="1"/>
        <v>111011011010</v>
      </c>
    </row>
    <row r="416" spans="1:10" ht="15.75" customHeight="1">
      <c r="A416" s="1">
        <v>415</v>
      </c>
      <c r="B416" s="1" t="s">
        <v>232</v>
      </c>
      <c r="C416" s="1" t="s">
        <v>229</v>
      </c>
      <c r="D416" s="1" t="s">
        <v>238</v>
      </c>
      <c r="E416" s="1" t="s">
        <v>237</v>
      </c>
      <c r="F416" s="1" t="s">
        <v>239</v>
      </c>
      <c r="G416" s="1" t="s">
        <v>231</v>
      </c>
      <c r="H416" s="1" t="s">
        <v>228</v>
      </c>
      <c r="I416" s="1" t="s">
        <v>230</v>
      </c>
      <c r="J416" s="1" t="str">
        <f t="shared" si="1"/>
        <v>111011011100</v>
      </c>
    </row>
    <row r="417" spans="1:10" ht="15.75" customHeight="1">
      <c r="A417" s="1">
        <v>416</v>
      </c>
      <c r="B417" s="1" t="s">
        <v>228</v>
      </c>
      <c r="C417" s="1" t="s">
        <v>233</v>
      </c>
      <c r="D417" s="1" t="s">
        <v>238</v>
      </c>
      <c r="E417" s="1" t="s">
        <v>237</v>
      </c>
      <c r="F417" s="1" t="s">
        <v>239</v>
      </c>
      <c r="G417" s="1" t="s">
        <v>231</v>
      </c>
      <c r="H417" s="1" t="s">
        <v>234</v>
      </c>
      <c r="I417" s="1" t="s">
        <v>235</v>
      </c>
      <c r="J417" s="1" t="str">
        <f t="shared" si="1"/>
        <v>111011100011</v>
      </c>
    </row>
    <row r="418" spans="1:10" ht="15.75" customHeight="1">
      <c r="A418" s="1">
        <v>417</v>
      </c>
      <c r="B418" s="1" t="s">
        <v>228</v>
      </c>
      <c r="C418" s="1" t="s">
        <v>233</v>
      </c>
      <c r="D418" s="1" t="s">
        <v>238</v>
      </c>
      <c r="E418" s="1" t="s">
        <v>237</v>
      </c>
      <c r="F418" s="1" t="s">
        <v>239</v>
      </c>
      <c r="G418" s="1" t="s">
        <v>231</v>
      </c>
      <c r="H418" s="1" t="s">
        <v>234</v>
      </c>
      <c r="I418" s="1" t="s">
        <v>229</v>
      </c>
      <c r="J418" s="1" t="str">
        <f t="shared" si="1"/>
        <v>111011100101</v>
      </c>
    </row>
    <row r="419" spans="1:10" ht="15.75" customHeight="1">
      <c r="A419" s="1">
        <v>418</v>
      </c>
      <c r="B419" s="1" t="s">
        <v>228</v>
      </c>
      <c r="C419" s="1" t="s">
        <v>233</v>
      </c>
      <c r="D419" s="1" t="s">
        <v>238</v>
      </c>
      <c r="E419" s="1" t="s">
        <v>237</v>
      </c>
      <c r="F419" s="1" t="s">
        <v>239</v>
      </c>
      <c r="G419" s="1" t="s">
        <v>231</v>
      </c>
      <c r="H419" s="1" t="s">
        <v>229</v>
      </c>
      <c r="I419" s="1" t="s">
        <v>235</v>
      </c>
      <c r="J419" s="1" t="str">
        <f t="shared" si="1"/>
        <v>111011100110</v>
      </c>
    </row>
    <row r="420" spans="1:10" ht="15.75" customHeight="1">
      <c r="A420" s="1">
        <v>419</v>
      </c>
      <c r="B420" s="1" t="s">
        <v>228</v>
      </c>
      <c r="C420" s="1" t="s">
        <v>233</v>
      </c>
      <c r="D420" s="1" t="s">
        <v>238</v>
      </c>
      <c r="E420" s="1" t="s">
        <v>237</v>
      </c>
      <c r="F420" s="1" t="s">
        <v>239</v>
      </c>
      <c r="G420" s="1" t="s">
        <v>231</v>
      </c>
      <c r="H420" s="1" t="s">
        <v>234</v>
      </c>
      <c r="I420" s="1" t="s">
        <v>230</v>
      </c>
      <c r="J420" s="1" t="str">
        <f t="shared" si="1"/>
        <v>111011101001</v>
      </c>
    </row>
    <row r="421" spans="1:10" ht="15.75" customHeight="1">
      <c r="A421" s="1">
        <v>420</v>
      </c>
      <c r="B421" s="1" t="s">
        <v>228</v>
      </c>
      <c r="C421" s="1" t="s">
        <v>233</v>
      </c>
      <c r="D421" s="1" t="s">
        <v>238</v>
      </c>
      <c r="E421" s="1" t="s">
        <v>237</v>
      </c>
      <c r="F421" s="1" t="s">
        <v>239</v>
      </c>
      <c r="G421" s="1" t="s">
        <v>231</v>
      </c>
      <c r="H421" s="1" t="s">
        <v>230</v>
      </c>
      <c r="I421" s="1" t="s">
        <v>235</v>
      </c>
      <c r="J421" s="1" t="str">
        <f t="shared" si="1"/>
        <v>111011101010</v>
      </c>
    </row>
    <row r="422" spans="1:10" ht="15.75" customHeight="1">
      <c r="A422" s="1">
        <v>421</v>
      </c>
      <c r="B422" s="1" t="s">
        <v>228</v>
      </c>
      <c r="C422" s="1" t="s">
        <v>233</v>
      </c>
      <c r="D422" s="1" t="s">
        <v>238</v>
      </c>
      <c r="E422" s="1" t="s">
        <v>237</v>
      </c>
      <c r="F422" s="1" t="s">
        <v>239</v>
      </c>
      <c r="G422" s="1" t="s">
        <v>231</v>
      </c>
      <c r="H422" s="1" t="s">
        <v>230</v>
      </c>
      <c r="I422" s="1" t="s">
        <v>229</v>
      </c>
      <c r="J422" s="1" t="str">
        <f t="shared" si="1"/>
        <v>111011101100</v>
      </c>
    </row>
    <row r="423" spans="1:10" ht="15.75" customHeight="1">
      <c r="A423" s="1">
        <v>422</v>
      </c>
      <c r="B423" s="1" t="s">
        <v>232</v>
      </c>
      <c r="C423" s="1" t="s">
        <v>233</v>
      </c>
      <c r="D423" s="1" t="s">
        <v>238</v>
      </c>
      <c r="E423" s="1" t="s">
        <v>237</v>
      </c>
      <c r="F423" s="1" t="s">
        <v>239</v>
      </c>
      <c r="G423" s="1" t="s">
        <v>231</v>
      </c>
      <c r="H423" s="1" t="s">
        <v>234</v>
      </c>
      <c r="I423" s="1" t="s">
        <v>228</v>
      </c>
      <c r="J423" s="1" t="str">
        <f t="shared" si="1"/>
        <v>111011110001</v>
      </c>
    </row>
    <row r="424" spans="1:10" ht="15.75" customHeight="1">
      <c r="A424" s="1">
        <v>423</v>
      </c>
      <c r="B424" s="1" t="s">
        <v>232</v>
      </c>
      <c r="C424" s="1" t="s">
        <v>233</v>
      </c>
      <c r="D424" s="1" t="s">
        <v>238</v>
      </c>
      <c r="E424" s="1" t="s">
        <v>237</v>
      </c>
      <c r="F424" s="1" t="s">
        <v>239</v>
      </c>
      <c r="G424" s="1" t="s">
        <v>231</v>
      </c>
      <c r="H424" s="1" t="s">
        <v>228</v>
      </c>
      <c r="I424" s="1" t="s">
        <v>235</v>
      </c>
      <c r="J424" s="1" t="str">
        <f t="shared" si="1"/>
        <v>111011110010</v>
      </c>
    </row>
    <row r="425" spans="1:10" ht="15.75" customHeight="1">
      <c r="A425" s="1">
        <v>424</v>
      </c>
      <c r="B425" s="1" t="s">
        <v>232</v>
      </c>
      <c r="C425" s="1" t="s">
        <v>233</v>
      </c>
      <c r="D425" s="1" t="s">
        <v>238</v>
      </c>
      <c r="E425" s="1" t="s">
        <v>237</v>
      </c>
      <c r="F425" s="1" t="s">
        <v>239</v>
      </c>
      <c r="G425" s="1" t="s">
        <v>231</v>
      </c>
      <c r="H425" s="1" t="s">
        <v>228</v>
      </c>
      <c r="I425" s="1" t="s">
        <v>229</v>
      </c>
      <c r="J425" s="1" t="str">
        <f t="shared" si="1"/>
        <v>111011110100</v>
      </c>
    </row>
    <row r="426" spans="1:10" ht="15.75" customHeight="1">
      <c r="A426" s="1">
        <v>425</v>
      </c>
      <c r="B426" s="1" t="s">
        <v>232</v>
      </c>
      <c r="C426" s="1" t="s">
        <v>233</v>
      </c>
      <c r="D426" s="1" t="s">
        <v>238</v>
      </c>
      <c r="E426" s="1" t="s">
        <v>237</v>
      </c>
      <c r="F426" s="1" t="s">
        <v>239</v>
      </c>
      <c r="G426" s="1" t="s">
        <v>231</v>
      </c>
      <c r="H426" s="1" t="s">
        <v>228</v>
      </c>
      <c r="I426" s="1" t="s">
        <v>230</v>
      </c>
      <c r="J426" s="1" t="str">
        <f t="shared" si="1"/>
        <v>111011111000</v>
      </c>
    </row>
    <row r="427" spans="1:10" ht="15.75" customHeight="1">
      <c r="A427" s="1">
        <v>426</v>
      </c>
      <c r="B427" s="1" t="s">
        <v>230</v>
      </c>
      <c r="C427" s="1" t="s">
        <v>229</v>
      </c>
      <c r="D427" s="1" t="s">
        <v>238</v>
      </c>
      <c r="E427" s="1" t="s">
        <v>237</v>
      </c>
      <c r="F427" s="1" t="s">
        <v>239</v>
      </c>
      <c r="G427" s="1" t="s">
        <v>236</v>
      </c>
      <c r="H427" s="1" t="s">
        <v>234</v>
      </c>
      <c r="I427" s="1" t="s">
        <v>235</v>
      </c>
      <c r="J427" s="1" t="str">
        <f t="shared" si="1"/>
        <v>111100001111</v>
      </c>
    </row>
    <row r="428" spans="1:10" ht="15.75" customHeight="1">
      <c r="A428" s="1">
        <v>427</v>
      </c>
      <c r="B428" s="1" t="s">
        <v>232</v>
      </c>
      <c r="C428" s="1" t="s">
        <v>229</v>
      </c>
      <c r="D428" s="1" t="s">
        <v>238</v>
      </c>
      <c r="E428" s="1" t="s">
        <v>237</v>
      </c>
      <c r="F428" s="1" t="s">
        <v>239</v>
      </c>
      <c r="G428" s="1" t="s">
        <v>236</v>
      </c>
      <c r="H428" s="1" t="s">
        <v>234</v>
      </c>
      <c r="I428" s="1" t="s">
        <v>235</v>
      </c>
      <c r="J428" s="1" t="str">
        <f t="shared" si="1"/>
        <v>111100010111</v>
      </c>
    </row>
    <row r="429" spans="1:10" ht="15.75" customHeight="1">
      <c r="A429" s="1">
        <v>428</v>
      </c>
      <c r="B429" s="1" t="s">
        <v>232</v>
      </c>
      <c r="C429" s="1" t="s">
        <v>230</v>
      </c>
      <c r="D429" s="1" t="s">
        <v>238</v>
      </c>
      <c r="E429" s="1" t="s">
        <v>237</v>
      </c>
      <c r="F429" s="1" t="s">
        <v>239</v>
      </c>
      <c r="G429" s="1" t="s">
        <v>236</v>
      </c>
      <c r="H429" s="1" t="s">
        <v>234</v>
      </c>
      <c r="I429" s="1" t="s">
        <v>235</v>
      </c>
      <c r="J429" s="1" t="str">
        <f t="shared" si="1"/>
        <v>111100011011</v>
      </c>
    </row>
    <row r="430" spans="1:10" ht="15.75" customHeight="1">
      <c r="A430" s="1">
        <v>429</v>
      </c>
      <c r="B430" s="1" t="s">
        <v>232</v>
      </c>
      <c r="C430" s="1" t="s">
        <v>229</v>
      </c>
      <c r="D430" s="1" t="s">
        <v>238</v>
      </c>
      <c r="E430" s="1" t="s">
        <v>237</v>
      </c>
      <c r="F430" s="1" t="s">
        <v>239</v>
      </c>
      <c r="G430" s="1" t="s">
        <v>236</v>
      </c>
      <c r="H430" s="1" t="s">
        <v>234</v>
      </c>
      <c r="I430" s="1" t="s">
        <v>230</v>
      </c>
      <c r="J430" s="1" t="str">
        <f t="shared" si="1"/>
        <v>111100011101</v>
      </c>
    </row>
    <row r="431" spans="1:10" ht="15.75" customHeight="1">
      <c r="A431" s="1">
        <v>430</v>
      </c>
      <c r="B431" s="1" t="s">
        <v>232</v>
      </c>
      <c r="C431" s="1" t="s">
        <v>229</v>
      </c>
      <c r="D431" s="1" t="s">
        <v>238</v>
      </c>
      <c r="E431" s="1" t="s">
        <v>237</v>
      </c>
      <c r="F431" s="1" t="s">
        <v>239</v>
      </c>
      <c r="G431" s="1" t="s">
        <v>236</v>
      </c>
      <c r="H431" s="1" t="s">
        <v>230</v>
      </c>
      <c r="I431" s="1" t="s">
        <v>235</v>
      </c>
      <c r="J431" s="1" t="str">
        <f t="shared" si="1"/>
        <v>111100011110</v>
      </c>
    </row>
    <row r="432" spans="1:10" ht="15.75" customHeight="1">
      <c r="A432" s="1">
        <v>431</v>
      </c>
      <c r="B432" s="1" t="s">
        <v>237</v>
      </c>
      <c r="C432" s="1" t="s">
        <v>229</v>
      </c>
      <c r="D432" s="1" t="s">
        <v>238</v>
      </c>
      <c r="E432" s="1" t="s">
        <v>236</v>
      </c>
      <c r="F432" s="1" t="s">
        <v>239</v>
      </c>
      <c r="G432" s="1" t="s">
        <v>233</v>
      </c>
      <c r="H432" s="1" t="s">
        <v>234</v>
      </c>
      <c r="I432" s="1" t="s">
        <v>235</v>
      </c>
      <c r="J432" s="1" t="str">
        <f t="shared" si="1"/>
        <v>111100100111</v>
      </c>
    </row>
    <row r="433" spans="1:10" ht="15.75" customHeight="1">
      <c r="A433" s="1">
        <v>432</v>
      </c>
      <c r="B433" s="1" t="s">
        <v>230</v>
      </c>
      <c r="C433" s="1" t="s">
        <v>233</v>
      </c>
      <c r="D433" s="1" t="s">
        <v>238</v>
      </c>
      <c r="E433" s="1" t="s">
        <v>237</v>
      </c>
      <c r="F433" s="1" t="s">
        <v>239</v>
      </c>
      <c r="G433" s="1" t="s">
        <v>236</v>
      </c>
      <c r="H433" s="1" t="s">
        <v>234</v>
      </c>
      <c r="I433" s="1" t="s">
        <v>235</v>
      </c>
      <c r="J433" s="1" t="str">
        <f t="shared" si="1"/>
        <v>111100101011</v>
      </c>
    </row>
    <row r="434" spans="1:10" ht="15.75" customHeight="1">
      <c r="A434" s="1">
        <v>433</v>
      </c>
      <c r="B434" s="1" t="s">
        <v>237</v>
      </c>
      <c r="C434" s="1" t="s">
        <v>229</v>
      </c>
      <c r="D434" s="1" t="s">
        <v>238</v>
      </c>
      <c r="E434" s="1" t="s">
        <v>236</v>
      </c>
      <c r="F434" s="1" t="s">
        <v>239</v>
      </c>
      <c r="G434" s="1" t="s">
        <v>233</v>
      </c>
      <c r="H434" s="1" t="s">
        <v>234</v>
      </c>
      <c r="I434" s="1" t="s">
        <v>230</v>
      </c>
      <c r="J434" s="1" t="str">
        <f t="shared" si="1"/>
        <v>111100101101</v>
      </c>
    </row>
    <row r="435" spans="1:10" ht="15.75" customHeight="1">
      <c r="A435" s="1">
        <v>434</v>
      </c>
      <c r="B435" s="1" t="s">
        <v>237</v>
      </c>
      <c r="C435" s="1" t="s">
        <v>229</v>
      </c>
      <c r="D435" s="1" t="s">
        <v>238</v>
      </c>
      <c r="E435" s="1" t="s">
        <v>236</v>
      </c>
      <c r="F435" s="1" t="s">
        <v>239</v>
      </c>
      <c r="G435" s="1" t="s">
        <v>233</v>
      </c>
      <c r="H435" s="1" t="s">
        <v>230</v>
      </c>
      <c r="I435" s="1" t="s">
        <v>235</v>
      </c>
      <c r="J435" s="1" t="str">
        <f t="shared" si="1"/>
        <v>111100101110</v>
      </c>
    </row>
    <row r="436" spans="1:10" ht="15.75" customHeight="1">
      <c r="A436" s="1">
        <v>435</v>
      </c>
      <c r="B436" s="1" t="s">
        <v>232</v>
      </c>
      <c r="C436" s="1" t="s">
        <v>233</v>
      </c>
      <c r="D436" s="1" t="s">
        <v>238</v>
      </c>
      <c r="E436" s="1" t="s">
        <v>237</v>
      </c>
      <c r="F436" s="1" t="s">
        <v>239</v>
      </c>
      <c r="G436" s="1" t="s">
        <v>236</v>
      </c>
      <c r="H436" s="1" t="s">
        <v>234</v>
      </c>
      <c r="I436" s="1" t="s">
        <v>235</v>
      </c>
      <c r="J436" s="1" t="str">
        <f t="shared" si="1"/>
        <v>111100110011</v>
      </c>
    </row>
    <row r="437" spans="1:10" ht="15.75" customHeight="1">
      <c r="A437" s="1">
        <v>436</v>
      </c>
      <c r="B437" s="1" t="s">
        <v>232</v>
      </c>
      <c r="C437" s="1" t="s">
        <v>233</v>
      </c>
      <c r="D437" s="1" t="s">
        <v>238</v>
      </c>
      <c r="E437" s="1" t="s">
        <v>237</v>
      </c>
      <c r="F437" s="1" t="s">
        <v>239</v>
      </c>
      <c r="G437" s="1" t="s">
        <v>236</v>
      </c>
      <c r="H437" s="1" t="s">
        <v>234</v>
      </c>
      <c r="I437" s="1" t="s">
        <v>229</v>
      </c>
      <c r="J437" s="1" t="str">
        <f t="shared" si="1"/>
        <v>111100110101</v>
      </c>
    </row>
    <row r="438" spans="1:10" ht="15.75" customHeight="1">
      <c r="A438" s="1">
        <v>437</v>
      </c>
      <c r="B438" s="1" t="s">
        <v>232</v>
      </c>
      <c r="C438" s="1" t="s">
        <v>233</v>
      </c>
      <c r="D438" s="1" t="s">
        <v>238</v>
      </c>
      <c r="E438" s="1" t="s">
        <v>237</v>
      </c>
      <c r="F438" s="1" t="s">
        <v>239</v>
      </c>
      <c r="G438" s="1" t="s">
        <v>236</v>
      </c>
      <c r="H438" s="1" t="s">
        <v>229</v>
      </c>
      <c r="I438" s="1" t="s">
        <v>235</v>
      </c>
      <c r="J438" s="1" t="str">
        <f t="shared" si="1"/>
        <v>111100110110</v>
      </c>
    </row>
    <row r="439" spans="1:10" ht="15.75" customHeight="1">
      <c r="A439" s="1">
        <v>438</v>
      </c>
      <c r="B439" s="1" t="s">
        <v>232</v>
      </c>
      <c r="C439" s="1" t="s">
        <v>233</v>
      </c>
      <c r="D439" s="1" t="s">
        <v>238</v>
      </c>
      <c r="E439" s="1" t="s">
        <v>237</v>
      </c>
      <c r="F439" s="1" t="s">
        <v>239</v>
      </c>
      <c r="G439" s="1" t="s">
        <v>236</v>
      </c>
      <c r="H439" s="1" t="s">
        <v>234</v>
      </c>
      <c r="I439" s="1" t="s">
        <v>230</v>
      </c>
      <c r="J439" s="1" t="str">
        <f t="shared" si="1"/>
        <v>111100111001</v>
      </c>
    </row>
    <row r="440" spans="1:10" ht="15.75" customHeight="1">
      <c r="A440" s="1">
        <v>439</v>
      </c>
      <c r="B440" s="1" t="s">
        <v>232</v>
      </c>
      <c r="C440" s="1" t="s">
        <v>233</v>
      </c>
      <c r="D440" s="1" t="s">
        <v>238</v>
      </c>
      <c r="E440" s="1" t="s">
        <v>237</v>
      </c>
      <c r="F440" s="1" t="s">
        <v>239</v>
      </c>
      <c r="G440" s="1" t="s">
        <v>236</v>
      </c>
      <c r="H440" s="1" t="s">
        <v>230</v>
      </c>
      <c r="I440" s="1" t="s">
        <v>235</v>
      </c>
      <c r="J440" s="1" t="str">
        <f t="shared" si="1"/>
        <v>111100111010</v>
      </c>
    </row>
    <row r="441" spans="1:10" ht="15.75" customHeight="1">
      <c r="A441" s="1">
        <v>440</v>
      </c>
      <c r="B441" s="1" t="s">
        <v>232</v>
      </c>
      <c r="C441" s="1" t="s">
        <v>233</v>
      </c>
      <c r="D441" s="1" t="s">
        <v>238</v>
      </c>
      <c r="E441" s="1" t="s">
        <v>237</v>
      </c>
      <c r="F441" s="1" t="s">
        <v>239</v>
      </c>
      <c r="G441" s="1" t="s">
        <v>236</v>
      </c>
      <c r="H441" s="1" t="s">
        <v>230</v>
      </c>
      <c r="I441" s="1" t="s">
        <v>229</v>
      </c>
      <c r="J441" s="1" t="str">
        <f t="shared" si="1"/>
        <v>111100111100</v>
      </c>
    </row>
    <row r="442" spans="1:10" ht="15.75" customHeight="1">
      <c r="A442" s="1">
        <v>441</v>
      </c>
      <c r="B442" s="1" t="s">
        <v>237</v>
      </c>
      <c r="C442" s="1" t="s">
        <v>229</v>
      </c>
      <c r="D442" s="1" t="s">
        <v>238</v>
      </c>
      <c r="E442" s="1" t="s">
        <v>236</v>
      </c>
      <c r="F442" s="1" t="s">
        <v>239</v>
      </c>
      <c r="G442" s="1" t="s">
        <v>231</v>
      </c>
      <c r="H442" s="1" t="s">
        <v>234</v>
      </c>
      <c r="I442" s="1" t="s">
        <v>235</v>
      </c>
      <c r="J442" s="1" t="str">
        <f t="shared" si="1"/>
        <v>111101000111</v>
      </c>
    </row>
    <row r="443" spans="1:10" ht="15.75" customHeight="1">
      <c r="A443" s="1">
        <v>442</v>
      </c>
      <c r="B443" s="1" t="s">
        <v>237</v>
      </c>
      <c r="C443" s="1" t="s">
        <v>230</v>
      </c>
      <c r="D443" s="1" t="s">
        <v>238</v>
      </c>
      <c r="E443" s="1" t="s">
        <v>236</v>
      </c>
      <c r="F443" s="1" t="s">
        <v>239</v>
      </c>
      <c r="G443" s="1" t="s">
        <v>231</v>
      </c>
      <c r="H443" s="1" t="s">
        <v>234</v>
      </c>
      <c r="I443" s="1" t="s">
        <v>235</v>
      </c>
      <c r="J443" s="1" t="str">
        <f t="shared" si="1"/>
        <v>111101001011</v>
      </c>
    </row>
    <row r="444" spans="1:10" ht="15.75" customHeight="1">
      <c r="A444" s="1">
        <v>443</v>
      </c>
      <c r="B444" s="1" t="s">
        <v>237</v>
      </c>
      <c r="C444" s="1" t="s">
        <v>229</v>
      </c>
      <c r="D444" s="1" t="s">
        <v>238</v>
      </c>
      <c r="E444" s="1" t="s">
        <v>236</v>
      </c>
      <c r="F444" s="1" t="s">
        <v>239</v>
      </c>
      <c r="G444" s="1" t="s">
        <v>231</v>
      </c>
      <c r="H444" s="1" t="s">
        <v>234</v>
      </c>
      <c r="I444" s="1" t="s">
        <v>230</v>
      </c>
      <c r="J444" s="1" t="str">
        <f t="shared" si="1"/>
        <v>111101001101</v>
      </c>
    </row>
    <row r="445" spans="1:10" ht="15.75" customHeight="1">
      <c r="A445" s="1">
        <v>444</v>
      </c>
      <c r="B445" s="1" t="s">
        <v>237</v>
      </c>
      <c r="C445" s="1" t="s">
        <v>229</v>
      </c>
      <c r="D445" s="1" t="s">
        <v>238</v>
      </c>
      <c r="E445" s="1" t="s">
        <v>236</v>
      </c>
      <c r="F445" s="1" t="s">
        <v>239</v>
      </c>
      <c r="G445" s="1" t="s">
        <v>231</v>
      </c>
      <c r="H445" s="1" t="s">
        <v>230</v>
      </c>
      <c r="I445" s="1" t="s">
        <v>235</v>
      </c>
      <c r="J445" s="1" t="str">
        <f t="shared" si="1"/>
        <v>111101001110</v>
      </c>
    </row>
    <row r="446" spans="1:10" ht="15.75" customHeight="1">
      <c r="A446" s="1">
        <v>445</v>
      </c>
      <c r="B446" s="1" t="s">
        <v>232</v>
      </c>
      <c r="C446" s="1" t="s">
        <v>231</v>
      </c>
      <c r="D446" s="1" t="s">
        <v>238</v>
      </c>
      <c r="E446" s="1" t="s">
        <v>237</v>
      </c>
      <c r="F446" s="1" t="s">
        <v>239</v>
      </c>
      <c r="G446" s="1" t="s">
        <v>236</v>
      </c>
      <c r="H446" s="1" t="s">
        <v>234</v>
      </c>
      <c r="I446" s="1" t="s">
        <v>235</v>
      </c>
      <c r="J446" s="1" t="str">
        <f t="shared" si="1"/>
        <v>111101010011</v>
      </c>
    </row>
    <row r="447" spans="1:10" ht="15.75" customHeight="1">
      <c r="A447" s="1">
        <v>446</v>
      </c>
      <c r="B447" s="1" t="s">
        <v>237</v>
      </c>
      <c r="C447" s="1" t="s">
        <v>229</v>
      </c>
      <c r="D447" s="1" t="s">
        <v>238</v>
      </c>
      <c r="E447" s="1" t="s">
        <v>236</v>
      </c>
      <c r="F447" s="1" t="s">
        <v>239</v>
      </c>
      <c r="G447" s="1" t="s">
        <v>231</v>
      </c>
      <c r="H447" s="1" t="s">
        <v>234</v>
      </c>
      <c r="I447" s="1" t="s">
        <v>232</v>
      </c>
      <c r="J447" s="1" t="str">
        <f t="shared" si="1"/>
        <v>111101010101</v>
      </c>
    </row>
    <row r="448" spans="1:10" ht="15.75" customHeight="1">
      <c r="A448" s="1">
        <v>447</v>
      </c>
      <c r="B448" s="1" t="s">
        <v>232</v>
      </c>
      <c r="C448" s="1" t="s">
        <v>229</v>
      </c>
      <c r="D448" s="1" t="s">
        <v>238</v>
      </c>
      <c r="E448" s="1" t="s">
        <v>237</v>
      </c>
      <c r="F448" s="1" t="s">
        <v>239</v>
      </c>
      <c r="G448" s="1" t="s">
        <v>231</v>
      </c>
      <c r="H448" s="1" t="s">
        <v>236</v>
      </c>
      <c r="I448" s="1" t="s">
        <v>235</v>
      </c>
      <c r="J448" s="1" t="str">
        <f t="shared" si="1"/>
        <v>111101010110</v>
      </c>
    </row>
    <row r="449" spans="1:10" ht="15.75" customHeight="1">
      <c r="A449" s="1">
        <v>448</v>
      </c>
      <c r="B449" s="1" t="s">
        <v>232</v>
      </c>
      <c r="C449" s="1" t="s">
        <v>231</v>
      </c>
      <c r="D449" s="1" t="s">
        <v>238</v>
      </c>
      <c r="E449" s="1" t="s">
        <v>237</v>
      </c>
      <c r="F449" s="1" t="s">
        <v>239</v>
      </c>
      <c r="G449" s="1" t="s">
        <v>236</v>
      </c>
      <c r="H449" s="1" t="s">
        <v>234</v>
      </c>
      <c r="I449" s="1" t="s">
        <v>230</v>
      </c>
      <c r="J449" s="1" t="str">
        <f t="shared" si="1"/>
        <v>111101011001</v>
      </c>
    </row>
    <row r="450" spans="1:10" ht="15.75" customHeight="1">
      <c r="A450" s="1">
        <v>449</v>
      </c>
      <c r="B450" s="1" t="s">
        <v>232</v>
      </c>
      <c r="C450" s="1" t="s">
        <v>231</v>
      </c>
      <c r="D450" s="1" t="s">
        <v>238</v>
      </c>
      <c r="E450" s="1" t="s">
        <v>237</v>
      </c>
      <c r="F450" s="1" t="s">
        <v>239</v>
      </c>
      <c r="G450" s="1" t="s">
        <v>236</v>
      </c>
      <c r="H450" s="1" t="s">
        <v>230</v>
      </c>
      <c r="I450" s="1" t="s">
        <v>235</v>
      </c>
      <c r="J450" s="1" t="str">
        <f t="shared" si="1"/>
        <v>111101011010</v>
      </c>
    </row>
    <row r="451" spans="1:10" ht="15.75" customHeight="1">
      <c r="A451" s="1">
        <v>450</v>
      </c>
      <c r="B451" s="1" t="s">
        <v>232</v>
      </c>
      <c r="C451" s="1" t="s">
        <v>229</v>
      </c>
      <c r="D451" s="1" t="s">
        <v>238</v>
      </c>
      <c r="E451" s="1" t="s">
        <v>237</v>
      </c>
      <c r="F451" s="1" t="s">
        <v>239</v>
      </c>
      <c r="G451" s="1" t="s">
        <v>231</v>
      </c>
      <c r="H451" s="1" t="s">
        <v>236</v>
      </c>
      <c r="I451" s="1" t="s">
        <v>230</v>
      </c>
      <c r="J451" s="1" t="str">
        <f t="shared" si="1"/>
        <v>111101011100</v>
      </c>
    </row>
    <row r="452" spans="1:10" ht="15.75" customHeight="1">
      <c r="A452" s="1">
        <v>451</v>
      </c>
      <c r="B452" s="1" t="s">
        <v>237</v>
      </c>
      <c r="C452" s="1" t="s">
        <v>233</v>
      </c>
      <c r="D452" s="1" t="s">
        <v>238</v>
      </c>
      <c r="E452" s="1" t="s">
        <v>236</v>
      </c>
      <c r="F452" s="1" t="s">
        <v>239</v>
      </c>
      <c r="G452" s="1" t="s">
        <v>231</v>
      </c>
      <c r="H452" s="1" t="s">
        <v>234</v>
      </c>
      <c r="I452" s="1" t="s">
        <v>235</v>
      </c>
      <c r="J452" s="1" t="str">
        <f t="shared" si="1"/>
        <v>111101100011</v>
      </c>
    </row>
    <row r="453" spans="1:10" ht="15.75" customHeight="1">
      <c r="A453" s="1">
        <v>452</v>
      </c>
      <c r="B453" s="1" t="s">
        <v>237</v>
      </c>
      <c r="C453" s="1" t="s">
        <v>233</v>
      </c>
      <c r="D453" s="1" t="s">
        <v>238</v>
      </c>
      <c r="E453" s="1" t="s">
        <v>236</v>
      </c>
      <c r="F453" s="1" t="s">
        <v>239</v>
      </c>
      <c r="G453" s="1" t="s">
        <v>231</v>
      </c>
      <c r="H453" s="1" t="s">
        <v>234</v>
      </c>
      <c r="I453" s="1" t="s">
        <v>229</v>
      </c>
      <c r="J453" s="1" t="str">
        <f t="shared" si="1"/>
        <v>111101100101</v>
      </c>
    </row>
    <row r="454" spans="1:10" ht="15.75" customHeight="1">
      <c r="A454" s="1">
        <v>453</v>
      </c>
      <c r="B454" s="1" t="s">
        <v>237</v>
      </c>
      <c r="C454" s="1" t="s">
        <v>233</v>
      </c>
      <c r="D454" s="1" t="s">
        <v>238</v>
      </c>
      <c r="E454" s="1" t="s">
        <v>236</v>
      </c>
      <c r="F454" s="1" t="s">
        <v>239</v>
      </c>
      <c r="G454" s="1" t="s">
        <v>231</v>
      </c>
      <c r="H454" s="1" t="s">
        <v>229</v>
      </c>
      <c r="I454" s="1" t="s">
        <v>235</v>
      </c>
      <c r="J454" s="1" t="str">
        <f t="shared" si="1"/>
        <v>111101100110</v>
      </c>
    </row>
    <row r="455" spans="1:10" ht="15.75" customHeight="1">
      <c r="A455" s="1">
        <v>454</v>
      </c>
      <c r="B455" s="1" t="s">
        <v>237</v>
      </c>
      <c r="C455" s="1" t="s">
        <v>233</v>
      </c>
      <c r="D455" s="1" t="s">
        <v>238</v>
      </c>
      <c r="E455" s="1" t="s">
        <v>236</v>
      </c>
      <c r="F455" s="1" t="s">
        <v>239</v>
      </c>
      <c r="G455" s="1" t="s">
        <v>231</v>
      </c>
      <c r="H455" s="1" t="s">
        <v>234</v>
      </c>
      <c r="I455" s="1" t="s">
        <v>230</v>
      </c>
      <c r="J455" s="1" t="str">
        <f t="shared" si="1"/>
        <v>111101101001</v>
      </c>
    </row>
    <row r="456" spans="1:10" ht="15.75" customHeight="1">
      <c r="A456" s="1">
        <v>455</v>
      </c>
      <c r="B456" s="1" t="s">
        <v>237</v>
      </c>
      <c r="C456" s="1" t="s">
        <v>233</v>
      </c>
      <c r="D456" s="1" t="s">
        <v>238</v>
      </c>
      <c r="E456" s="1" t="s">
        <v>236</v>
      </c>
      <c r="F456" s="1" t="s">
        <v>239</v>
      </c>
      <c r="G456" s="1" t="s">
        <v>231</v>
      </c>
      <c r="H456" s="1" t="s">
        <v>230</v>
      </c>
      <c r="I456" s="1" t="s">
        <v>235</v>
      </c>
      <c r="J456" s="1" t="str">
        <f t="shared" si="1"/>
        <v>111101101010</v>
      </c>
    </row>
    <row r="457" spans="1:10" ht="15.75" customHeight="1">
      <c r="A457" s="1">
        <v>456</v>
      </c>
      <c r="B457" s="1" t="s">
        <v>237</v>
      </c>
      <c r="C457" s="1" t="s">
        <v>233</v>
      </c>
      <c r="D457" s="1" t="s">
        <v>238</v>
      </c>
      <c r="E457" s="1" t="s">
        <v>236</v>
      </c>
      <c r="F457" s="1" t="s">
        <v>239</v>
      </c>
      <c r="G457" s="1" t="s">
        <v>231</v>
      </c>
      <c r="H457" s="1" t="s">
        <v>230</v>
      </c>
      <c r="I457" s="1" t="s">
        <v>229</v>
      </c>
      <c r="J457" s="1" t="str">
        <f t="shared" si="1"/>
        <v>111101101100</v>
      </c>
    </row>
    <row r="458" spans="1:10" ht="15.75" customHeight="1">
      <c r="A458" s="1">
        <v>457</v>
      </c>
      <c r="B458" s="1" t="s">
        <v>237</v>
      </c>
      <c r="C458" s="1" t="s">
        <v>233</v>
      </c>
      <c r="D458" s="1" t="s">
        <v>238</v>
      </c>
      <c r="E458" s="1" t="s">
        <v>236</v>
      </c>
      <c r="F458" s="1" t="s">
        <v>239</v>
      </c>
      <c r="G458" s="1" t="s">
        <v>231</v>
      </c>
      <c r="H458" s="1" t="s">
        <v>234</v>
      </c>
      <c r="I458" s="1" t="s">
        <v>232</v>
      </c>
      <c r="J458" s="1" t="str">
        <f t="shared" si="1"/>
        <v>111101110001</v>
      </c>
    </row>
    <row r="459" spans="1:10" ht="15.75" customHeight="1">
      <c r="A459" s="1">
        <v>458</v>
      </c>
      <c r="B459" s="1" t="s">
        <v>232</v>
      </c>
      <c r="C459" s="1" t="s">
        <v>233</v>
      </c>
      <c r="D459" s="1" t="s">
        <v>238</v>
      </c>
      <c r="E459" s="1" t="s">
        <v>237</v>
      </c>
      <c r="F459" s="1" t="s">
        <v>239</v>
      </c>
      <c r="G459" s="1" t="s">
        <v>231</v>
      </c>
      <c r="H459" s="1" t="s">
        <v>236</v>
      </c>
      <c r="I459" s="1" t="s">
        <v>235</v>
      </c>
      <c r="J459" s="1" t="str">
        <f t="shared" si="1"/>
        <v>111101110010</v>
      </c>
    </row>
    <row r="460" spans="1:10" ht="15.75" customHeight="1">
      <c r="A460" s="1">
        <v>459</v>
      </c>
      <c r="B460" s="1" t="s">
        <v>232</v>
      </c>
      <c r="C460" s="1" t="s">
        <v>233</v>
      </c>
      <c r="D460" s="1" t="s">
        <v>238</v>
      </c>
      <c r="E460" s="1" t="s">
        <v>237</v>
      </c>
      <c r="F460" s="1" t="s">
        <v>239</v>
      </c>
      <c r="G460" s="1" t="s">
        <v>231</v>
      </c>
      <c r="H460" s="1" t="s">
        <v>236</v>
      </c>
      <c r="I460" s="1" t="s">
        <v>229</v>
      </c>
      <c r="J460" s="1" t="str">
        <f t="shared" si="1"/>
        <v>111101110100</v>
      </c>
    </row>
    <row r="461" spans="1:10" ht="15.75" customHeight="1">
      <c r="A461" s="1">
        <v>460</v>
      </c>
      <c r="B461" s="1" t="s">
        <v>232</v>
      </c>
      <c r="C461" s="1" t="s">
        <v>233</v>
      </c>
      <c r="D461" s="1" t="s">
        <v>238</v>
      </c>
      <c r="E461" s="1" t="s">
        <v>237</v>
      </c>
      <c r="F461" s="1" t="s">
        <v>239</v>
      </c>
      <c r="G461" s="1" t="s">
        <v>231</v>
      </c>
      <c r="H461" s="1" t="s">
        <v>236</v>
      </c>
      <c r="I461" s="1" t="s">
        <v>230</v>
      </c>
      <c r="J461" s="1" t="str">
        <f t="shared" si="1"/>
        <v>111101111000</v>
      </c>
    </row>
    <row r="462" spans="1:10" ht="15.75" customHeight="1">
      <c r="A462" s="1">
        <v>461</v>
      </c>
      <c r="B462" s="1" t="s">
        <v>228</v>
      </c>
      <c r="C462" s="1" t="s">
        <v>229</v>
      </c>
      <c r="D462" s="1" t="s">
        <v>238</v>
      </c>
      <c r="E462" s="1" t="s">
        <v>237</v>
      </c>
      <c r="F462" s="1" t="s">
        <v>239</v>
      </c>
      <c r="G462" s="1" t="s">
        <v>236</v>
      </c>
      <c r="H462" s="1" t="s">
        <v>234</v>
      </c>
      <c r="I462" s="1" t="s">
        <v>235</v>
      </c>
      <c r="J462" s="1" t="str">
        <f t="shared" si="1"/>
        <v>111110000111</v>
      </c>
    </row>
    <row r="463" spans="1:10" ht="15.75" customHeight="1">
      <c r="A463" s="1">
        <v>462</v>
      </c>
      <c r="B463" s="1" t="s">
        <v>228</v>
      </c>
      <c r="C463" s="1" t="s">
        <v>230</v>
      </c>
      <c r="D463" s="1" t="s">
        <v>238</v>
      </c>
      <c r="E463" s="1" t="s">
        <v>237</v>
      </c>
      <c r="F463" s="1" t="s">
        <v>239</v>
      </c>
      <c r="G463" s="1" t="s">
        <v>236</v>
      </c>
      <c r="H463" s="1" t="s">
        <v>234</v>
      </c>
      <c r="I463" s="1" t="s">
        <v>235</v>
      </c>
      <c r="J463" s="1" t="str">
        <f t="shared" si="1"/>
        <v>111110001011</v>
      </c>
    </row>
    <row r="464" spans="1:10" ht="15.75" customHeight="1">
      <c r="A464" s="1">
        <v>463</v>
      </c>
      <c r="B464" s="1" t="s">
        <v>228</v>
      </c>
      <c r="C464" s="1" t="s">
        <v>229</v>
      </c>
      <c r="D464" s="1" t="s">
        <v>238</v>
      </c>
      <c r="E464" s="1" t="s">
        <v>237</v>
      </c>
      <c r="F464" s="1" t="s">
        <v>239</v>
      </c>
      <c r="G464" s="1" t="s">
        <v>236</v>
      </c>
      <c r="H464" s="1" t="s">
        <v>234</v>
      </c>
      <c r="I464" s="1" t="s">
        <v>230</v>
      </c>
      <c r="J464" s="1" t="str">
        <f t="shared" si="1"/>
        <v>111110001101</v>
      </c>
    </row>
    <row r="465" spans="1:10" ht="15.75" customHeight="1">
      <c r="A465" s="1">
        <v>464</v>
      </c>
      <c r="B465" s="1" t="s">
        <v>228</v>
      </c>
      <c r="C465" s="1" t="s">
        <v>229</v>
      </c>
      <c r="D465" s="1" t="s">
        <v>238</v>
      </c>
      <c r="E465" s="1" t="s">
        <v>237</v>
      </c>
      <c r="F465" s="1" t="s">
        <v>239</v>
      </c>
      <c r="G465" s="1" t="s">
        <v>236</v>
      </c>
      <c r="H465" s="1" t="s">
        <v>230</v>
      </c>
      <c r="I465" s="1" t="s">
        <v>235</v>
      </c>
      <c r="J465" s="1" t="str">
        <f t="shared" si="1"/>
        <v>111110001110</v>
      </c>
    </row>
    <row r="466" spans="1:10" ht="15.75" customHeight="1">
      <c r="A466" s="1">
        <v>465</v>
      </c>
      <c r="B466" s="1" t="s">
        <v>232</v>
      </c>
      <c r="C466" s="1" t="s">
        <v>228</v>
      </c>
      <c r="D466" s="1" t="s">
        <v>238</v>
      </c>
      <c r="E466" s="1" t="s">
        <v>237</v>
      </c>
      <c r="F466" s="1" t="s">
        <v>239</v>
      </c>
      <c r="G466" s="1" t="s">
        <v>236</v>
      </c>
      <c r="H466" s="1" t="s">
        <v>234</v>
      </c>
      <c r="I466" s="1" t="s">
        <v>235</v>
      </c>
      <c r="J466" s="1" t="str">
        <f t="shared" si="1"/>
        <v>111110010011</v>
      </c>
    </row>
    <row r="467" spans="1:10" ht="15.75" customHeight="1">
      <c r="A467" s="1">
        <v>466</v>
      </c>
      <c r="B467" s="1" t="s">
        <v>232</v>
      </c>
      <c r="C467" s="1" t="s">
        <v>229</v>
      </c>
      <c r="D467" s="1" t="s">
        <v>238</v>
      </c>
      <c r="E467" s="1" t="s">
        <v>237</v>
      </c>
      <c r="F467" s="1" t="s">
        <v>239</v>
      </c>
      <c r="G467" s="1" t="s">
        <v>236</v>
      </c>
      <c r="H467" s="1" t="s">
        <v>234</v>
      </c>
      <c r="I467" s="1" t="s">
        <v>228</v>
      </c>
      <c r="J467" s="1" t="str">
        <f t="shared" si="1"/>
        <v>111110010101</v>
      </c>
    </row>
    <row r="468" spans="1:10" ht="15.75" customHeight="1">
      <c r="A468" s="1">
        <v>467</v>
      </c>
      <c r="B468" s="1" t="s">
        <v>232</v>
      </c>
      <c r="C468" s="1" t="s">
        <v>229</v>
      </c>
      <c r="D468" s="1" t="s">
        <v>238</v>
      </c>
      <c r="E468" s="1" t="s">
        <v>237</v>
      </c>
      <c r="F468" s="1" t="s">
        <v>239</v>
      </c>
      <c r="G468" s="1" t="s">
        <v>236</v>
      </c>
      <c r="H468" s="1" t="s">
        <v>228</v>
      </c>
      <c r="I468" s="1" t="s">
        <v>235</v>
      </c>
      <c r="J468" s="1" t="str">
        <f t="shared" si="1"/>
        <v>111110010110</v>
      </c>
    </row>
    <row r="469" spans="1:10" ht="15.75" customHeight="1">
      <c r="A469" s="1">
        <v>468</v>
      </c>
      <c r="B469" s="1" t="s">
        <v>232</v>
      </c>
      <c r="C469" s="1" t="s">
        <v>228</v>
      </c>
      <c r="D469" s="1" t="s">
        <v>238</v>
      </c>
      <c r="E469" s="1" t="s">
        <v>237</v>
      </c>
      <c r="F469" s="1" t="s">
        <v>239</v>
      </c>
      <c r="G469" s="1" t="s">
        <v>236</v>
      </c>
      <c r="H469" s="1" t="s">
        <v>234</v>
      </c>
      <c r="I469" s="1" t="s">
        <v>230</v>
      </c>
      <c r="J469" s="1" t="str">
        <f t="shared" si="1"/>
        <v>111110011001</v>
      </c>
    </row>
    <row r="470" spans="1:10" ht="15.75" customHeight="1">
      <c r="A470" s="1">
        <v>469</v>
      </c>
      <c r="B470" s="1" t="s">
        <v>232</v>
      </c>
      <c r="C470" s="1" t="s">
        <v>228</v>
      </c>
      <c r="D470" s="1" t="s">
        <v>238</v>
      </c>
      <c r="E470" s="1" t="s">
        <v>237</v>
      </c>
      <c r="F470" s="1" t="s">
        <v>239</v>
      </c>
      <c r="G470" s="1" t="s">
        <v>236</v>
      </c>
      <c r="H470" s="1" t="s">
        <v>230</v>
      </c>
      <c r="I470" s="1" t="s">
        <v>235</v>
      </c>
      <c r="J470" s="1" t="str">
        <f t="shared" si="1"/>
        <v>111110011010</v>
      </c>
    </row>
    <row r="471" spans="1:10" ht="15.75" customHeight="1">
      <c r="A471" s="1">
        <v>470</v>
      </c>
      <c r="B471" s="1" t="s">
        <v>232</v>
      </c>
      <c r="C471" s="1" t="s">
        <v>229</v>
      </c>
      <c r="D471" s="1" t="s">
        <v>238</v>
      </c>
      <c r="E471" s="1" t="s">
        <v>237</v>
      </c>
      <c r="F471" s="1" t="s">
        <v>239</v>
      </c>
      <c r="G471" s="1" t="s">
        <v>236</v>
      </c>
      <c r="H471" s="1" t="s">
        <v>228</v>
      </c>
      <c r="I471" s="1" t="s">
        <v>230</v>
      </c>
      <c r="J471" s="1" t="str">
        <f t="shared" si="1"/>
        <v>111110011100</v>
      </c>
    </row>
    <row r="472" spans="1:10" ht="15.75" customHeight="1">
      <c r="A472" s="1">
        <v>471</v>
      </c>
      <c r="B472" s="1" t="s">
        <v>228</v>
      </c>
      <c r="C472" s="1" t="s">
        <v>233</v>
      </c>
      <c r="D472" s="1" t="s">
        <v>238</v>
      </c>
      <c r="E472" s="1" t="s">
        <v>237</v>
      </c>
      <c r="F472" s="1" t="s">
        <v>239</v>
      </c>
      <c r="G472" s="1" t="s">
        <v>236</v>
      </c>
      <c r="H472" s="1" t="s">
        <v>234</v>
      </c>
      <c r="I472" s="1" t="s">
        <v>235</v>
      </c>
      <c r="J472" s="1" t="str">
        <f t="shared" si="1"/>
        <v>111110100011</v>
      </c>
    </row>
    <row r="473" spans="1:10" ht="15.75" customHeight="1">
      <c r="A473" s="1">
        <v>472</v>
      </c>
      <c r="B473" s="1" t="s">
        <v>228</v>
      </c>
      <c r="C473" s="1" t="s">
        <v>233</v>
      </c>
      <c r="D473" s="1" t="s">
        <v>238</v>
      </c>
      <c r="E473" s="1" t="s">
        <v>237</v>
      </c>
      <c r="F473" s="1" t="s">
        <v>239</v>
      </c>
      <c r="G473" s="1" t="s">
        <v>236</v>
      </c>
      <c r="H473" s="1" t="s">
        <v>234</v>
      </c>
      <c r="I473" s="1" t="s">
        <v>229</v>
      </c>
      <c r="J473" s="1" t="str">
        <f t="shared" si="1"/>
        <v>111110100101</v>
      </c>
    </row>
    <row r="474" spans="1:10" ht="15.75" customHeight="1">
      <c r="A474" s="1">
        <v>473</v>
      </c>
      <c r="B474" s="1" t="s">
        <v>228</v>
      </c>
      <c r="C474" s="1" t="s">
        <v>233</v>
      </c>
      <c r="D474" s="1" t="s">
        <v>238</v>
      </c>
      <c r="E474" s="1" t="s">
        <v>237</v>
      </c>
      <c r="F474" s="1" t="s">
        <v>239</v>
      </c>
      <c r="G474" s="1" t="s">
        <v>236</v>
      </c>
      <c r="H474" s="1" t="s">
        <v>229</v>
      </c>
      <c r="I474" s="1" t="s">
        <v>235</v>
      </c>
      <c r="J474" s="1" t="str">
        <f t="shared" si="1"/>
        <v>111110100110</v>
      </c>
    </row>
    <row r="475" spans="1:10" ht="15.75" customHeight="1">
      <c r="A475" s="1">
        <v>474</v>
      </c>
      <c r="B475" s="1" t="s">
        <v>228</v>
      </c>
      <c r="C475" s="1" t="s">
        <v>233</v>
      </c>
      <c r="D475" s="1" t="s">
        <v>238</v>
      </c>
      <c r="E475" s="1" t="s">
        <v>237</v>
      </c>
      <c r="F475" s="1" t="s">
        <v>239</v>
      </c>
      <c r="G475" s="1" t="s">
        <v>236</v>
      </c>
      <c r="H475" s="1" t="s">
        <v>234</v>
      </c>
      <c r="I475" s="1" t="s">
        <v>230</v>
      </c>
      <c r="J475" s="1" t="str">
        <f t="shared" si="1"/>
        <v>111110101001</v>
      </c>
    </row>
    <row r="476" spans="1:10" ht="15.75" customHeight="1">
      <c r="A476" s="1">
        <v>475</v>
      </c>
      <c r="B476" s="1" t="s">
        <v>228</v>
      </c>
      <c r="C476" s="1" t="s">
        <v>233</v>
      </c>
      <c r="D476" s="1" t="s">
        <v>238</v>
      </c>
      <c r="E476" s="1" t="s">
        <v>237</v>
      </c>
      <c r="F476" s="1" t="s">
        <v>239</v>
      </c>
      <c r="G476" s="1" t="s">
        <v>236</v>
      </c>
      <c r="H476" s="1" t="s">
        <v>230</v>
      </c>
      <c r="I476" s="1" t="s">
        <v>235</v>
      </c>
      <c r="J476" s="1" t="str">
        <f t="shared" si="1"/>
        <v>111110101010</v>
      </c>
    </row>
    <row r="477" spans="1:10" ht="15.75" customHeight="1">
      <c r="A477" s="1">
        <v>476</v>
      </c>
      <c r="B477" s="1" t="s">
        <v>228</v>
      </c>
      <c r="C477" s="1" t="s">
        <v>233</v>
      </c>
      <c r="D477" s="1" t="s">
        <v>238</v>
      </c>
      <c r="E477" s="1" t="s">
        <v>237</v>
      </c>
      <c r="F477" s="1" t="s">
        <v>239</v>
      </c>
      <c r="G477" s="1" t="s">
        <v>236</v>
      </c>
      <c r="H477" s="1" t="s">
        <v>230</v>
      </c>
      <c r="I477" s="1" t="s">
        <v>229</v>
      </c>
      <c r="J477" s="1" t="str">
        <f t="shared" si="1"/>
        <v>111110101100</v>
      </c>
    </row>
    <row r="478" spans="1:10" ht="15.75" customHeight="1">
      <c r="A478" s="1">
        <v>477</v>
      </c>
      <c r="B478" s="1" t="s">
        <v>232</v>
      </c>
      <c r="C478" s="1" t="s">
        <v>233</v>
      </c>
      <c r="D478" s="1" t="s">
        <v>238</v>
      </c>
      <c r="E478" s="1" t="s">
        <v>237</v>
      </c>
      <c r="F478" s="1" t="s">
        <v>239</v>
      </c>
      <c r="G478" s="1" t="s">
        <v>236</v>
      </c>
      <c r="H478" s="1" t="s">
        <v>234</v>
      </c>
      <c r="I478" s="1" t="s">
        <v>228</v>
      </c>
      <c r="J478" s="1" t="str">
        <f t="shared" si="1"/>
        <v>111110110001</v>
      </c>
    </row>
    <row r="479" spans="1:10" ht="15.75" customHeight="1">
      <c r="A479" s="1">
        <v>478</v>
      </c>
      <c r="B479" s="1" t="s">
        <v>232</v>
      </c>
      <c r="C479" s="1" t="s">
        <v>233</v>
      </c>
      <c r="D479" s="1" t="s">
        <v>238</v>
      </c>
      <c r="E479" s="1" t="s">
        <v>237</v>
      </c>
      <c r="F479" s="1" t="s">
        <v>239</v>
      </c>
      <c r="G479" s="1" t="s">
        <v>236</v>
      </c>
      <c r="H479" s="1" t="s">
        <v>228</v>
      </c>
      <c r="I479" s="1" t="s">
        <v>235</v>
      </c>
      <c r="J479" s="1" t="str">
        <f t="shared" si="1"/>
        <v>111110110010</v>
      </c>
    </row>
    <row r="480" spans="1:10" ht="15.75" customHeight="1">
      <c r="A480" s="1">
        <v>479</v>
      </c>
      <c r="B480" s="1" t="s">
        <v>232</v>
      </c>
      <c r="C480" s="1" t="s">
        <v>233</v>
      </c>
      <c r="D480" s="1" t="s">
        <v>238</v>
      </c>
      <c r="E480" s="1" t="s">
        <v>237</v>
      </c>
      <c r="F480" s="1" t="s">
        <v>239</v>
      </c>
      <c r="G480" s="1" t="s">
        <v>236</v>
      </c>
      <c r="H480" s="1" t="s">
        <v>228</v>
      </c>
      <c r="I480" s="1" t="s">
        <v>229</v>
      </c>
      <c r="J480" s="1" t="str">
        <f t="shared" si="1"/>
        <v>111110110100</v>
      </c>
    </row>
    <row r="481" spans="1:10" ht="15.75" customHeight="1">
      <c r="A481" s="1">
        <v>480</v>
      </c>
      <c r="B481" s="1" t="s">
        <v>232</v>
      </c>
      <c r="C481" s="1" t="s">
        <v>233</v>
      </c>
      <c r="D481" s="1" t="s">
        <v>238</v>
      </c>
      <c r="E481" s="1" t="s">
        <v>237</v>
      </c>
      <c r="F481" s="1" t="s">
        <v>239</v>
      </c>
      <c r="G481" s="1" t="s">
        <v>236</v>
      </c>
      <c r="H481" s="1" t="s">
        <v>228</v>
      </c>
      <c r="I481" s="1" t="s">
        <v>230</v>
      </c>
      <c r="J481" s="1" t="str">
        <f t="shared" si="1"/>
        <v>111110111000</v>
      </c>
    </row>
    <row r="482" spans="1:10" ht="15.75" customHeight="1">
      <c r="A482" s="1">
        <v>481</v>
      </c>
      <c r="B482" s="1" t="s">
        <v>237</v>
      </c>
      <c r="C482" s="1" t="s">
        <v>228</v>
      </c>
      <c r="D482" s="1" t="s">
        <v>238</v>
      </c>
      <c r="E482" s="1" t="s">
        <v>236</v>
      </c>
      <c r="F482" s="1" t="s">
        <v>239</v>
      </c>
      <c r="G482" s="1" t="s">
        <v>231</v>
      </c>
      <c r="H482" s="1" t="s">
        <v>234</v>
      </c>
      <c r="I482" s="1" t="s">
        <v>235</v>
      </c>
      <c r="J482" s="1" t="str">
        <f t="shared" si="1"/>
        <v>111111000011</v>
      </c>
    </row>
    <row r="483" spans="1:10" ht="15.75" customHeight="1">
      <c r="A483" s="1">
        <v>482</v>
      </c>
      <c r="B483" s="1" t="s">
        <v>237</v>
      </c>
      <c r="C483" s="1" t="s">
        <v>229</v>
      </c>
      <c r="D483" s="1" t="s">
        <v>238</v>
      </c>
      <c r="E483" s="1" t="s">
        <v>236</v>
      </c>
      <c r="F483" s="1" t="s">
        <v>239</v>
      </c>
      <c r="G483" s="1" t="s">
        <v>231</v>
      </c>
      <c r="H483" s="1" t="s">
        <v>234</v>
      </c>
      <c r="I483" s="1" t="s">
        <v>228</v>
      </c>
      <c r="J483" s="1" t="str">
        <f t="shared" si="1"/>
        <v>111111000101</v>
      </c>
    </row>
    <row r="484" spans="1:10" ht="15.75" customHeight="1">
      <c r="A484" s="1">
        <v>483</v>
      </c>
      <c r="B484" s="1" t="s">
        <v>237</v>
      </c>
      <c r="C484" s="1" t="s">
        <v>229</v>
      </c>
      <c r="D484" s="1" t="s">
        <v>238</v>
      </c>
      <c r="E484" s="1" t="s">
        <v>236</v>
      </c>
      <c r="F484" s="1" t="s">
        <v>239</v>
      </c>
      <c r="G484" s="1" t="s">
        <v>231</v>
      </c>
      <c r="H484" s="1" t="s">
        <v>228</v>
      </c>
      <c r="I484" s="1" t="s">
        <v>235</v>
      </c>
      <c r="J484" s="1" t="str">
        <f t="shared" si="1"/>
        <v>111111000110</v>
      </c>
    </row>
    <row r="485" spans="1:10" ht="15.75" customHeight="1">
      <c r="A485" s="1">
        <v>484</v>
      </c>
      <c r="B485" s="1" t="s">
        <v>237</v>
      </c>
      <c r="C485" s="1" t="s">
        <v>228</v>
      </c>
      <c r="D485" s="1" t="s">
        <v>238</v>
      </c>
      <c r="E485" s="1" t="s">
        <v>236</v>
      </c>
      <c r="F485" s="1" t="s">
        <v>239</v>
      </c>
      <c r="G485" s="1" t="s">
        <v>231</v>
      </c>
      <c r="H485" s="1" t="s">
        <v>234</v>
      </c>
      <c r="I485" s="1" t="s">
        <v>230</v>
      </c>
      <c r="J485" s="1" t="str">
        <f t="shared" si="1"/>
        <v>111111001001</v>
      </c>
    </row>
    <row r="486" spans="1:10" ht="15.75" customHeight="1">
      <c r="A486" s="1">
        <v>485</v>
      </c>
      <c r="B486" s="1" t="s">
        <v>237</v>
      </c>
      <c r="C486" s="1" t="s">
        <v>228</v>
      </c>
      <c r="D486" s="1" t="s">
        <v>238</v>
      </c>
      <c r="E486" s="1" t="s">
        <v>236</v>
      </c>
      <c r="F486" s="1" t="s">
        <v>239</v>
      </c>
      <c r="G486" s="1" t="s">
        <v>231</v>
      </c>
      <c r="H486" s="1" t="s">
        <v>230</v>
      </c>
      <c r="I486" s="1" t="s">
        <v>235</v>
      </c>
      <c r="J486" s="1" t="str">
        <f t="shared" si="1"/>
        <v>111111001010</v>
      </c>
    </row>
    <row r="487" spans="1:10" ht="15.75" customHeight="1">
      <c r="A487" s="1">
        <v>486</v>
      </c>
      <c r="B487" s="1" t="s">
        <v>237</v>
      </c>
      <c r="C487" s="1" t="s">
        <v>229</v>
      </c>
      <c r="D487" s="1" t="s">
        <v>238</v>
      </c>
      <c r="E487" s="1" t="s">
        <v>236</v>
      </c>
      <c r="F487" s="1" t="s">
        <v>239</v>
      </c>
      <c r="G487" s="1" t="s">
        <v>231</v>
      </c>
      <c r="H487" s="1" t="s">
        <v>228</v>
      </c>
      <c r="I487" s="1" t="s">
        <v>230</v>
      </c>
      <c r="J487" s="1" t="str">
        <f t="shared" si="1"/>
        <v>111111001100</v>
      </c>
    </row>
    <row r="488" spans="1:10" ht="15.75" customHeight="1">
      <c r="A488" s="1">
        <v>487</v>
      </c>
      <c r="B488" s="1" t="s">
        <v>232</v>
      </c>
      <c r="C488" s="1" t="s">
        <v>231</v>
      </c>
      <c r="D488" s="1" t="s">
        <v>238</v>
      </c>
      <c r="E488" s="1" t="s">
        <v>237</v>
      </c>
      <c r="F488" s="1" t="s">
        <v>239</v>
      </c>
      <c r="G488" s="1" t="s">
        <v>236</v>
      </c>
      <c r="H488" s="1" t="s">
        <v>234</v>
      </c>
      <c r="I488" s="1" t="s">
        <v>228</v>
      </c>
      <c r="J488" s="1" t="str">
        <f t="shared" si="1"/>
        <v>111111010001</v>
      </c>
    </row>
    <row r="489" spans="1:10" ht="15.75" customHeight="1">
      <c r="A489" s="1">
        <v>488</v>
      </c>
      <c r="B489" s="1" t="s">
        <v>232</v>
      </c>
      <c r="C489" s="1" t="s">
        <v>228</v>
      </c>
      <c r="D489" s="1" t="s">
        <v>238</v>
      </c>
      <c r="E489" s="1" t="s">
        <v>237</v>
      </c>
      <c r="F489" s="1" t="s">
        <v>239</v>
      </c>
      <c r="G489" s="1" t="s">
        <v>231</v>
      </c>
      <c r="H489" s="1" t="s">
        <v>236</v>
      </c>
      <c r="I489" s="1" t="s">
        <v>235</v>
      </c>
      <c r="J489" s="1" t="str">
        <f t="shared" si="1"/>
        <v>111111010010</v>
      </c>
    </row>
    <row r="490" spans="1:10" ht="15.75" customHeight="1">
      <c r="A490" s="1">
        <v>489</v>
      </c>
      <c r="B490" s="1" t="s">
        <v>232</v>
      </c>
      <c r="C490" s="1" t="s">
        <v>229</v>
      </c>
      <c r="D490" s="1" t="s">
        <v>238</v>
      </c>
      <c r="E490" s="1" t="s">
        <v>237</v>
      </c>
      <c r="F490" s="1" t="s">
        <v>239</v>
      </c>
      <c r="G490" s="1" t="s">
        <v>231</v>
      </c>
      <c r="H490" s="1" t="s">
        <v>236</v>
      </c>
      <c r="I490" s="1" t="s">
        <v>228</v>
      </c>
      <c r="J490" s="1" t="str">
        <f t="shared" si="1"/>
        <v>111111010100</v>
      </c>
    </row>
    <row r="491" spans="1:10" ht="15.75" customHeight="1">
      <c r="A491" s="1">
        <v>490</v>
      </c>
      <c r="B491" s="1" t="s">
        <v>232</v>
      </c>
      <c r="C491" s="1" t="s">
        <v>228</v>
      </c>
      <c r="D491" s="1" t="s">
        <v>238</v>
      </c>
      <c r="E491" s="1" t="s">
        <v>237</v>
      </c>
      <c r="F491" s="1" t="s">
        <v>239</v>
      </c>
      <c r="G491" s="1" t="s">
        <v>231</v>
      </c>
      <c r="H491" s="1" t="s">
        <v>236</v>
      </c>
      <c r="I491" s="1" t="s">
        <v>230</v>
      </c>
      <c r="J491" s="1" t="str">
        <f t="shared" si="1"/>
        <v>111111011000</v>
      </c>
    </row>
    <row r="492" spans="1:10" ht="15.75" customHeight="1">
      <c r="A492" s="1">
        <v>491</v>
      </c>
      <c r="B492" s="1" t="s">
        <v>237</v>
      </c>
      <c r="C492" s="1" t="s">
        <v>233</v>
      </c>
      <c r="D492" s="1" t="s">
        <v>238</v>
      </c>
      <c r="E492" s="1" t="s">
        <v>236</v>
      </c>
      <c r="F492" s="1" t="s">
        <v>239</v>
      </c>
      <c r="G492" s="1" t="s">
        <v>231</v>
      </c>
      <c r="H492" s="1" t="s">
        <v>234</v>
      </c>
      <c r="I492" s="1" t="s">
        <v>228</v>
      </c>
      <c r="J492" s="1" t="str">
        <f t="shared" si="1"/>
        <v>111111100001</v>
      </c>
    </row>
    <row r="493" spans="1:10" ht="15.75" customHeight="1">
      <c r="A493" s="1">
        <v>492</v>
      </c>
      <c r="B493" s="1" t="s">
        <v>237</v>
      </c>
      <c r="C493" s="1" t="s">
        <v>233</v>
      </c>
      <c r="D493" s="1" t="s">
        <v>238</v>
      </c>
      <c r="E493" s="1" t="s">
        <v>236</v>
      </c>
      <c r="F493" s="1" t="s">
        <v>239</v>
      </c>
      <c r="G493" s="1" t="s">
        <v>231</v>
      </c>
      <c r="H493" s="1" t="s">
        <v>228</v>
      </c>
      <c r="I493" s="1" t="s">
        <v>235</v>
      </c>
      <c r="J493" s="1" t="str">
        <f t="shared" si="1"/>
        <v>111111100010</v>
      </c>
    </row>
    <row r="494" spans="1:10" ht="15.75" customHeight="1">
      <c r="A494" s="1">
        <v>493</v>
      </c>
      <c r="B494" s="1" t="s">
        <v>237</v>
      </c>
      <c r="C494" s="1" t="s">
        <v>233</v>
      </c>
      <c r="D494" s="1" t="s">
        <v>238</v>
      </c>
      <c r="E494" s="1" t="s">
        <v>236</v>
      </c>
      <c r="F494" s="1" t="s">
        <v>239</v>
      </c>
      <c r="G494" s="1" t="s">
        <v>231</v>
      </c>
      <c r="H494" s="1" t="s">
        <v>228</v>
      </c>
      <c r="I494" s="1" t="s">
        <v>229</v>
      </c>
      <c r="J494" s="1" t="str">
        <f t="shared" si="1"/>
        <v>111111100100</v>
      </c>
    </row>
    <row r="495" spans="1:10" ht="15.75" customHeight="1">
      <c r="A495" s="1">
        <v>494</v>
      </c>
      <c r="B495" s="1" t="s">
        <v>237</v>
      </c>
      <c r="C495" s="1" t="s">
        <v>233</v>
      </c>
      <c r="D495" s="1" t="s">
        <v>238</v>
      </c>
      <c r="E495" s="1" t="s">
        <v>236</v>
      </c>
      <c r="F495" s="1" t="s">
        <v>239</v>
      </c>
      <c r="G495" s="1" t="s">
        <v>231</v>
      </c>
      <c r="H495" s="1" t="s">
        <v>228</v>
      </c>
      <c r="I495" s="1" t="s">
        <v>230</v>
      </c>
      <c r="J495" s="1" t="str">
        <f t="shared" si="1"/>
        <v>111111101000</v>
      </c>
    </row>
    <row r="496" spans="1:10" ht="15.75" customHeight="1">
      <c r="A496" s="1">
        <v>495</v>
      </c>
      <c r="B496" s="1" t="s">
        <v>232</v>
      </c>
      <c r="C496" s="1" t="s">
        <v>233</v>
      </c>
      <c r="D496" s="1" t="s">
        <v>238</v>
      </c>
      <c r="E496" s="1" t="s">
        <v>237</v>
      </c>
      <c r="F496" s="1" t="s">
        <v>239</v>
      </c>
      <c r="G496" s="1" t="s">
        <v>231</v>
      </c>
      <c r="H496" s="1" t="s">
        <v>236</v>
      </c>
      <c r="I496" s="1" t="s">
        <v>228</v>
      </c>
      <c r="J496" s="1" t="str">
        <f t="shared" si="1"/>
        <v>111111110000</v>
      </c>
    </row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2026-04-01T11:18:43Z</dcterms:created>
  <dcterms:modified xsi:type="dcterms:W3CDTF">2026-06-09T23:29:13Z</dcterms:modified>
  <cp:category/>
  <cp:contentStatus/>
</cp:coreProperties>
</file>