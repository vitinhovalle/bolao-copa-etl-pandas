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ocuments\"/>
    </mc:Choice>
  </mc:AlternateContent>
  <xr:revisionPtr revIDLastSave="0" documentId="8_{F1F58E18-9556-4C76-BF25-54B1685C2088}" xr6:coauthVersionLast="47" xr6:coauthVersionMax="47" xr10:uidLastSave="{00000000-0000-0000-0000-000000000000}"/>
  <bookViews>
    <workbookView xWindow="0" yWindow="0" windowWidth="28800" windowHeight="12135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Y41" i="1"/>
  <c r="Q47" i="1"/>
  <c r="H45" i="1"/>
  <c r="AX93" i="1"/>
  <c r="AW93" i="1"/>
  <c r="Z41" i="1"/>
  <c r="Q45" i="1"/>
  <c r="G47" i="1"/>
  <c r="AX94" i="1"/>
  <c r="AW94" i="1" s="1"/>
  <c r="Y39" i="1"/>
  <c r="P47" i="1"/>
  <c r="H47" i="1"/>
  <c r="AX95" i="1"/>
  <c r="AW95" i="1" s="1"/>
  <c r="G43" i="1"/>
  <c r="P43" i="1"/>
  <c r="Z43" i="1"/>
  <c r="AR92" i="1"/>
  <c r="AQ92" i="1" s="1"/>
  <c r="Y43" i="1"/>
  <c r="P49" i="1"/>
  <c r="H49" i="1"/>
  <c r="AR93" i="1"/>
  <c r="AQ93" i="1" s="1"/>
  <c r="Y45" i="1"/>
  <c r="Q49" i="1"/>
  <c r="H43" i="1"/>
  <c r="AR94" i="1"/>
  <c r="AQ94" i="1" s="1"/>
  <c r="Z45" i="1"/>
  <c r="Q43" i="1"/>
  <c r="G49" i="1"/>
  <c r="AR95" i="1"/>
  <c r="AQ95" i="1" s="1"/>
  <c r="Z49" i="1"/>
  <c r="P35" i="1"/>
  <c r="G39" i="1"/>
  <c r="AL92" i="1"/>
  <c r="AK92" i="1" s="1"/>
  <c r="Z47" i="1"/>
  <c r="Q35" i="1"/>
  <c r="G41" i="1"/>
  <c r="AL93" i="1"/>
  <c r="AK93" i="1"/>
  <c r="Y47" i="1"/>
  <c r="Q41" i="1"/>
  <c r="H39" i="1"/>
  <c r="AJ94" i="1" s="1"/>
  <c r="AL94" i="1"/>
  <c r="AK94" i="1" s="1"/>
  <c r="Y49" i="1"/>
  <c r="P41" i="1"/>
  <c r="H41" i="1"/>
  <c r="AL95" i="1"/>
  <c r="AK95" i="1" s="1"/>
  <c r="Z27" i="1"/>
  <c r="P37" i="1"/>
  <c r="G35" i="1"/>
  <c r="AF92" i="1"/>
  <c r="AE92" i="1" s="1"/>
  <c r="Y27" i="1"/>
  <c r="P39" i="1"/>
  <c r="H37" i="1"/>
  <c r="AD93" i="1"/>
  <c r="AF93" i="1"/>
  <c r="AE93" i="1" s="1"/>
  <c r="Y29" i="1"/>
  <c r="Q39" i="1"/>
  <c r="H35" i="1"/>
  <c r="AF94" i="1"/>
  <c r="AE94" i="1" s="1"/>
  <c r="Z29" i="1"/>
  <c r="Q37" i="1"/>
  <c r="G37" i="1"/>
  <c r="AD95" i="1" s="1"/>
  <c r="AF95" i="1"/>
  <c r="AE95" i="1" s="1"/>
  <c r="Z33" i="1"/>
  <c r="P27" i="1"/>
  <c r="G27" i="1"/>
  <c r="AX86" i="1"/>
  <c r="AW86" i="1" s="1"/>
  <c r="Y33" i="1"/>
  <c r="P31" i="1"/>
  <c r="H31" i="1"/>
  <c r="AX87" i="1"/>
  <c r="AW87" i="1" s="1"/>
  <c r="Z31" i="1"/>
  <c r="Q27" i="1"/>
  <c r="G31" i="1"/>
  <c r="AX88" i="1"/>
  <c r="AW88" i="1" s="1"/>
  <c r="Y31" i="1"/>
  <c r="Q31" i="1"/>
  <c r="H27" i="1"/>
  <c r="AX89" i="1"/>
  <c r="AW89" i="1" s="1"/>
  <c r="Z35" i="1"/>
  <c r="P29" i="1"/>
  <c r="G29" i="1"/>
  <c r="AR86" i="1"/>
  <c r="AQ86" i="1" s="1"/>
  <c r="Z37" i="1"/>
  <c r="Q29" i="1"/>
  <c r="G33" i="1"/>
  <c r="AR87" i="1"/>
  <c r="AQ87" i="1" s="1"/>
  <c r="Y37" i="1"/>
  <c r="Q33" i="1"/>
  <c r="H29" i="1"/>
  <c r="AR88" i="1"/>
  <c r="AQ88" i="1" s="1"/>
  <c r="Y35" i="1"/>
  <c r="P33" i="1"/>
  <c r="H33" i="1"/>
  <c r="AR89" i="1"/>
  <c r="AQ89" i="1"/>
  <c r="Z19" i="1"/>
  <c r="P19" i="1"/>
  <c r="G21" i="1"/>
  <c r="AL86" i="1"/>
  <c r="AK86" i="1" s="1"/>
  <c r="Y21" i="1"/>
  <c r="Q25" i="1"/>
  <c r="H21" i="1"/>
  <c r="AL87" i="1"/>
  <c r="AK87" i="1"/>
  <c r="G25" i="1"/>
  <c r="Z21" i="1"/>
  <c r="Q19" i="1"/>
  <c r="AL88" i="1"/>
  <c r="AK88" i="1" s="1"/>
  <c r="Y19" i="1"/>
  <c r="P25" i="1"/>
  <c r="H25" i="1"/>
  <c r="AL89" i="1"/>
  <c r="AK89" i="1"/>
  <c r="G19" i="1"/>
  <c r="P21" i="1"/>
  <c r="Z17" i="1"/>
  <c r="AF86" i="1"/>
  <c r="AE86" i="1" s="1"/>
  <c r="Z15" i="1"/>
  <c r="Q21" i="1"/>
  <c r="G23" i="1"/>
  <c r="AF87" i="1"/>
  <c r="AE87" i="1"/>
  <c r="Y17" i="1"/>
  <c r="P23" i="1"/>
  <c r="H23" i="1"/>
  <c r="AF88" i="1"/>
  <c r="AE88" i="1" s="1"/>
  <c r="H19" i="1"/>
  <c r="Q23" i="1"/>
  <c r="Y15" i="1"/>
  <c r="AF89" i="1"/>
  <c r="AE89" i="1" s="1"/>
  <c r="Y23" i="1"/>
  <c r="P17" i="1"/>
  <c r="H17" i="1"/>
  <c r="AX80" i="1"/>
  <c r="AW80" i="1" s="1"/>
  <c r="Z23" i="1"/>
  <c r="P11" i="1"/>
  <c r="G9" i="1"/>
  <c r="AV81" i="1" s="1"/>
  <c r="AX81" i="1"/>
  <c r="AW81" i="1" s="1"/>
  <c r="Y25" i="1"/>
  <c r="Q17" i="1"/>
  <c r="H9" i="1"/>
  <c r="AX82" i="1"/>
  <c r="AW82" i="1"/>
  <c r="Z25" i="1"/>
  <c r="Q11" i="1"/>
  <c r="G17" i="1"/>
  <c r="AX83" i="1"/>
  <c r="AW83" i="1" s="1"/>
  <c r="Z9" i="1"/>
  <c r="P15" i="1"/>
  <c r="G13" i="1"/>
  <c r="AR80" i="1"/>
  <c r="AQ80" i="1" s="1"/>
  <c r="Y7" i="1"/>
  <c r="Q13" i="1"/>
  <c r="H13" i="1"/>
  <c r="AR81" i="1"/>
  <c r="AQ81" i="1" s="1"/>
  <c r="Y9" i="1"/>
  <c r="P13" i="1"/>
  <c r="H15" i="1"/>
  <c r="AQ82" i="1"/>
  <c r="Z7" i="1"/>
  <c r="Q15" i="1"/>
  <c r="G15" i="1"/>
  <c r="AR83" i="1"/>
  <c r="AQ83" i="1" s="1"/>
  <c r="Y3" i="1"/>
  <c r="P5" i="1"/>
  <c r="H11" i="1"/>
  <c r="AL80" i="1"/>
  <c r="AK80" i="1" s="1"/>
  <c r="Y5" i="1"/>
  <c r="Q5" i="1"/>
  <c r="H7" i="1"/>
  <c r="AL81" i="1"/>
  <c r="AK81" i="1"/>
  <c r="Z3" i="1"/>
  <c r="P7" i="1"/>
  <c r="G7" i="1"/>
  <c r="AL82" i="1"/>
  <c r="AK82" i="1" s="1"/>
  <c r="Z5" i="1"/>
  <c r="Q7" i="1"/>
  <c r="G11" i="1"/>
  <c r="AL83" i="1"/>
  <c r="AK83" i="1" s="1"/>
  <c r="G3" i="1"/>
  <c r="P9" i="1"/>
  <c r="Z13" i="1"/>
  <c r="AE80" i="1"/>
  <c r="AF80" i="1"/>
  <c r="P3" i="1"/>
  <c r="H5" i="1"/>
  <c r="Y13" i="1"/>
  <c r="AD81" i="1"/>
  <c r="AE81" i="1"/>
  <c r="AF81" i="1"/>
  <c r="G5" i="1"/>
  <c r="Q9" i="1"/>
  <c r="Z11" i="1"/>
  <c r="AE82" i="1"/>
  <c r="AF82" i="1"/>
  <c r="H3" i="1"/>
  <c r="Q3" i="1"/>
  <c r="Y11" i="1"/>
  <c r="AE83" i="1"/>
  <c r="AF83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J86" i="1" l="1"/>
  <c r="AV86" i="1"/>
  <c r="AD94" i="1"/>
  <c r="AJ92" i="1"/>
  <c r="AP94" i="1"/>
  <c r="AJ95" i="1"/>
  <c r="AJ93" i="1"/>
  <c r="AP92" i="1"/>
  <c r="AP93" i="1"/>
  <c r="AV93" i="1"/>
  <c r="AY93" i="1" s="1"/>
  <c r="AV95" i="1"/>
  <c r="AY95" i="1" s="1"/>
  <c r="AJ89" i="1"/>
  <c r="AD88" i="1"/>
  <c r="AD86" i="1"/>
  <c r="AJ82" i="1"/>
  <c r="AV94" i="1"/>
  <c r="AY94" i="1" s="1"/>
  <c r="AP95" i="1"/>
  <c r="AS92" i="1"/>
  <c r="AM94" i="1"/>
  <c r="AD92" i="1"/>
  <c r="AG92" i="1" s="1"/>
  <c r="AM93" i="1"/>
  <c r="AP88" i="1"/>
  <c r="AS88" i="1" s="1"/>
  <c r="AP89" i="1"/>
  <c r="AS89" i="1" s="1"/>
  <c r="AV89" i="1"/>
  <c r="AY89" i="1" s="1"/>
  <c r="AV87" i="1"/>
  <c r="AP86" i="1"/>
  <c r="AS86" i="1" s="1"/>
  <c r="AP87" i="1"/>
  <c r="AS87" i="1" s="1"/>
  <c r="AV88" i="1"/>
  <c r="AY88" i="1" s="1"/>
  <c r="AJ87" i="1"/>
  <c r="AM87" i="1" s="1"/>
  <c r="AG88" i="1"/>
  <c r="AD89" i="1"/>
  <c r="AG89" i="1" s="1"/>
  <c r="AJ88" i="1"/>
  <c r="AM88" i="1" s="1"/>
  <c r="AD87" i="1"/>
  <c r="AG87" i="1" s="1"/>
  <c r="AV82" i="1"/>
  <c r="AY82" i="1" s="1"/>
  <c r="AV80" i="1"/>
  <c r="AP80" i="1"/>
  <c r="AS80" i="1" s="1"/>
  <c r="AP83" i="1"/>
  <c r="AS83" i="1" s="1"/>
  <c r="AP82" i="1"/>
  <c r="AS82" i="1" s="1"/>
  <c r="AP81" i="1"/>
  <c r="AS81" i="1" s="1"/>
  <c r="AY81" i="1"/>
  <c r="AV83" i="1"/>
  <c r="AY83" i="1" s="1"/>
  <c r="AJ83" i="1"/>
  <c r="AM83" i="1" s="1"/>
  <c r="AJ80" i="1"/>
  <c r="AM80" i="1" s="1"/>
  <c r="AJ81" i="1"/>
  <c r="AM81" i="1" s="1"/>
  <c r="AS95" i="1"/>
  <c r="AS93" i="1"/>
  <c r="AY92" i="1"/>
  <c r="AS94" i="1"/>
  <c r="AM95" i="1"/>
  <c r="AM92" i="1"/>
  <c r="AI27" i="1"/>
  <c r="AI29" i="1"/>
  <c r="AI26" i="1"/>
  <c r="AI28" i="1"/>
  <c r="AG95" i="1"/>
  <c r="AG93" i="1"/>
  <c r="AG94" i="1"/>
  <c r="AC27" i="1"/>
  <c r="AC28" i="1"/>
  <c r="AC29" i="1"/>
  <c r="AY87" i="1"/>
  <c r="AY86" i="1"/>
  <c r="AM89" i="1"/>
  <c r="AG86" i="1"/>
  <c r="AY80" i="1"/>
  <c r="AM86" i="1"/>
  <c r="AM82" i="1"/>
  <c r="AD83" i="1"/>
  <c r="AG83" i="1" s="1"/>
  <c r="AD80" i="1"/>
  <c r="AG80" i="1" s="1"/>
  <c r="AD82" i="1"/>
  <c r="AG82" i="1" s="1"/>
  <c r="AG81" i="1"/>
  <c r="AI17" i="1" l="1"/>
  <c r="AC35" i="1"/>
  <c r="AI2" i="1"/>
  <c r="AC9" i="1"/>
  <c r="AI35" i="1"/>
  <c r="AJ35" i="1" s="1"/>
  <c r="AI32" i="1"/>
  <c r="A75" i="1" s="1"/>
  <c r="N72" i="1" s="1"/>
  <c r="N96" i="1" s="1"/>
  <c r="AI34" i="1"/>
  <c r="AK34" i="1" s="1"/>
  <c r="BE91" i="1" s="1"/>
  <c r="AI33" i="1"/>
  <c r="E84" i="1" s="1"/>
  <c r="J75" i="1" s="1"/>
  <c r="AI20" i="1"/>
  <c r="A87" i="1" s="1"/>
  <c r="N75" i="1" s="1"/>
  <c r="J93" i="1" s="1"/>
  <c r="W85" i="1" s="1"/>
  <c r="AI23" i="1"/>
  <c r="AL23" i="1" s="1"/>
  <c r="AC26" i="1"/>
  <c r="AI8" i="1"/>
  <c r="A78" i="1" s="1"/>
  <c r="J78" i="1" s="1"/>
  <c r="AI14" i="1"/>
  <c r="AL14" i="1" s="1"/>
  <c r="AC11" i="1"/>
  <c r="AD11" i="1" s="1"/>
  <c r="AI3" i="1"/>
  <c r="AL3" i="1" s="1"/>
  <c r="AC22" i="1"/>
  <c r="AE22" i="1" s="1"/>
  <c r="BE87" i="1" s="1"/>
  <c r="AC23" i="1"/>
  <c r="AD23" i="1" s="1"/>
  <c r="AC21" i="1"/>
  <c r="AF21" i="1" s="1"/>
  <c r="AC20" i="1"/>
  <c r="AF20" i="1" s="1"/>
  <c r="AI21" i="1"/>
  <c r="AJ21" i="1" s="1"/>
  <c r="AI22" i="1"/>
  <c r="AL22" i="1" s="1"/>
  <c r="BF90" i="1" s="1"/>
  <c r="AI15" i="1"/>
  <c r="E63" i="1" s="1"/>
  <c r="AI16" i="1"/>
  <c r="AK16" i="1" s="1"/>
  <c r="BE84" i="1" s="1"/>
  <c r="AC10" i="1"/>
  <c r="AE10" i="1" s="1"/>
  <c r="BE86" i="1" s="1"/>
  <c r="AC8" i="1"/>
  <c r="A63" i="1" s="1"/>
  <c r="J69" i="1" s="1"/>
  <c r="AI5" i="1"/>
  <c r="AK5" i="1" s="1"/>
  <c r="AI4" i="1"/>
  <c r="AJ4" i="1" s="1"/>
  <c r="BD83" i="1" s="1"/>
  <c r="AC33" i="1"/>
  <c r="A84" i="1" s="1"/>
  <c r="AC34" i="1"/>
  <c r="AF34" i="1" s="1"/>
  <c r="BF88" i="1" s="1"/>
  <c r="AC32" i="1"/>
  <c r="AF32" i="1" s="1"/>
  <c r="AL32" i="1"/>
  <c r="AK32" i="1"/>
  <c r="AJ32" i="1"/>
  <c r="AL35" i="1"/>
  <c r="AD35" i="1"/>
  <c r="AE35" i="1"/>
  <c r="AF35" i="1"/>
  <c r="AK28" i="1"/>
  <c r="BE85" i="1" s="1"/>
  <c r="AJ28" i="1"/>
  <c r="BD85" i="1" s="1"/>
  <c r="AL28" i="1"/>
  <c r="BF85" i="1" s="1"/>
  <c r="BC85" i="1"/>
  <c r="AK26" i="1"/>
  <c r="A93" i="1"/>
  <c r="J81" i="1" s="1"/>
  <c r="J99" i="1" s="1"/>
  <c r="AL26" i="1"/>
  <c r="AJ26" i="1"/>
  <c r="AL29" i="1"/>
  <c r="AK29" i="1"/>
  <c r="AJ29" i="1"/>
  <c r="E87" i="1"/>
  <c r="AL27" i="1"/>
  <c r="AK27" i="1"/>
  <c r="AJ27" i="1"/>
  <c r="AD26" i="1"/>
  <c r="AF26" i="1"/>
  <c r="A66" i="1"/>
  <c r="N63" i="1" s="1"/>
  <c r="J90" i="1" s="1"/>
  <c r="S85" i="1" s="1"/>
  <c r="AE26" i="1"/>
  <c r="AD29" i="1"/>
  <c r="AE29" i="1"/>
  <c r="AF29" i="1"/>
  <c r="BC82" i="1"/>
  <c r="AD28" i="1"/>
  <c r="BD82" i="1" s="1"/>
  <c r="AF28" i="1"/>
  <c r="BF82" i="1" s="1"/>
  <c r="AE28" i="1"/>
  <c r="BE82" i="1" s="1"/>
  <c r="E69" i="1"/>
  <c r="AF27" i="1"/>
  <c r="AE27" i="1"/>
  <c r="AD27" i="1"/>
  <c r="AC14" i="1"/>
  <c r="AC16" i="1"/>
  <c r="AC15" i="1"/>
  <c r="AC17" i="1"/>
  <c r="AI10" i="1"/>
  <c r="AK10" i="1" s="1"/>
  <c r="BE89" i="1" s="1"/>
  <c r="AI9" i="1"/>
  <c r="A99" i="1" s="1"/>
  <c r="N81" i="1" s="1"/>
  <c r="AI11" i="1"/>
  <c r="AJ11" i="1" s="1"/>
  <c r="AJ14" i="1"/>
  <c r="AL17" i="1"/>
  <c r="AJ17" i="1"/>
  <c r="AK17" i="1"/>
  <c r="E60" i="1"/>
  <c r="N66" i="1" s="1"/>
  <c r="N90" i="1" s="1"/>
  <c r="AD9" i="1"/>
  <c r="AF9" i="1"/>
  <c r="AE9" i="1"/>
  <c r="AJ2" i="1"/>
  <c r="A90" i="1"/>
  <c r="AL2" i="1"/>
  <c r="AK2" i="1"/>
  <c r="AC5" i="1"/>
  <c r="AF5" i="1" s="1"/>
  <c r="AC4" i="1"/>
  <c r="AD4" i="1" s="1"/>
  <c r="BD80" i="1" s="1"/>
  <c r="AC2" i="1"/>
  <c r="A72" i="1" s="1"/>
  <c r="AC3" i="1"/>
  <c r="AD3" i="1" s="1"/>
  <c r="S93" i="1" l="1"/>
  <c r="S99" i="1"/>
  <c r="BC91" i="1"/>
  <c r="AJ34" i="1"/>
  <c r="BD91" i="1" s="1"/>
  <c r="AK35" i="1"/>
  <c r="AL34" i="1"/>
  <c r="BF91" i="1" s="1"/>
  <c r="AL33" i="1"/>
  <c r="AJ33" i="1"/>
  <c r="AK33" i="1"/>
  <c r="AK20" i="1"/>
  <c r="AL20" i="1"/>
  <c r="AJ20" i="1"/>
  <c r="AJ23" i="1"/>
  <c r="AK23" i="1"/>
  <c r="AL8" i="1"/>
  <c r="AJ8" i="1"/>
  <c r="AK8" i="1"/>
  <c r="A60" i="1"/>
  <c r="AK14" i="1"/>
  <c r="AJ16" i="1"/>
  <c r="BD84" i="1" s="1"/>
  <c r="BC84" i="1"/>
  <c r="AL16" i="1"/>
  <c r="BF84" i="1" s="1"/>
  <c r="AF10" i="1"/>
  <c r="BF86" i="1" s="1"/>
  <c r="AF11" i="1"/>
  <c r="AD8" i="1"/>
  <c r="BC86" i="1"/>
  <c r="AE11" i="1"/>
  <c r="AD10" i="1"/>
  <c r="BD86" i="1" s="1"/>
  <c r="BG86" i="1" s="1"/>
  <c r="E54" i="1"/>
  <c r="J66" i="1" s="1"/>
  <c r="AK3" i="1"/>
  <c r="AJ3" i="1"/>
  <c r="AL5" i="1"/>
  <c r="AE34" i="1"/>
  <c r="BE88" i="1" s="1"/>
  <c r="AD34" i="1"/>
  <c r="BD88" i="1" s="1"/>
  <c r="BG88" i="1" s="1"/>
  <c r="BC88" i="1"/>
  <c r="A81" i="1"/>
  <c r="N78" i="1" s="1"/>
  <c r="N93" i="1" s="1"/>
  <c r="AE20" i="1"/>
  <c r="AL21" i="1"/>
  <c r="E93" i="1"/>
  <c r="AK21" i="1"/>
  <c r="AJ22" i="1"/>
  <c r="BD90" i="1" s="1"/>
  <c r="AK22" i="1"/>
  <c r="BE90" i="1" s="1"/>
  <c r="AE23" i="1"/>
  <c r="AF23" i="1"/>
  <c r="AD20" i="1"/>
  <c r="E99" i="1"/>
  <c r="AD21" i="1"/>
  <c r="AF22" i="1"/>
  <c r="BF87" i="1" s="1"/>
  <c r="AE21" i="1"/>
  <c r="AD22" i="1"/>
  <c r="BD87" i="1" s="1"/>
  <c r="BC87" i="1"/>
  <c r="BC90" i="1"/>
  <c r="AK15" i="1"/>
  <c r="AL15" i="1"/>
  <c r="AJ15" i="1"/>
  <c r="AJ9" i="1"/>
  <c r="AE8" i="1"/>
  <c r="AF8" i="1"/>
  <c r="AK9" i="1"/>
  <c r="AL9" i="1"/>
  <c r="AJ5" i="1"/>
  <c r="AL4" i="1"/>
  <c r="BF83" i="1" s="1"/>
  <c r="BC83" i="1"/>
  <c r="AK4" i="1"/>
  <c r="BE83" i="1" s="1"/>
  <c r="AD33" i="1"/>
  <c r="AE33" i="1"/>
  <c r="AF33" i="1"/>
  <c r="A96" i="1"/>
  <c r="N84" i="1" s="1"/>
  <c r="N99" i="1" s="1"/>
  <c r="W88" i="1" s="1"/>
  <c r="AE32" i="1"/>
  <c r="AD32" i="1"/>
  <c r="BG91" i="1"/>
  <c r="BG85" i="1"/>
  <c r="BG82" i="1"/>
  <c r="AF17" i="1"/>
  <c r="AE17" i="1"/>
  <c r="AD17" i="1"/>
  <c r="A69" i="1"/>
  <c r="N69" i="1" s="1"/>
  <c r="J96" i="1" s="1"/>
  <c r="S88" i="1" s="1"/>
  <c r="AE15" i="1"/>
  <c r="AD15" i="1"/>
  <c r="AF15" i="1"/>
  <c r="AD16" i="1"/>
  <c r="BD81" i="1" s="1"/>
  <c r="AE16" i="1"/>
  <c r="BE81" i="1" s="1"/>
  <c r="BC81" i="1"/>
  <c r="AF16" i="1"/>
  <c r="BF81" i="1" s="1"/>
  <c r="AF14" i="1"/>
  <c r="A57" i="1"/>
  <c r="J63" i="1" s="1"/>
  <c r="AE14" i="1"/>
  <c r="AD14" i="1"/>
  <c r="AL10" i="1"/>
  <c r="BF89" i="1" s="1"/>
  <c r="AK11" i="1"/>
  <c r="AJ10" i="1"/>
  <c r="BD89" i="1" s="1"/>
  <c r="BG89" i="1" s="1"/>
  <c r="AL11" i="1"/>
  <c r="BC89" i="1"/>
  <c r="BC80" i="1"/>
  <c r="AE2" i="1"/>
  <c r="AE3" i="1"/>
  <c r="AF3" i="1"/>
  <c r="AF2" i="1"/>
  <c r="AD2" i="1"/>
  <c r="AE4" i="1"/>
  <c r="BE80" i="1" s="1"/>
  <c r="A54" i="1"/>
  <c r="AF4" i="1"/>
  <c r="BF80" i="1" s="1"/>
  <c r="AD5" i="1"/>
  <c r="AE5" i="1"/>
  <c r="W99" i="1" l="1"/>
  <c r="AB99" i="1" s="1"/>
  <c r="W93" i="1"/>
  <c r="BG87" i="1"/>
  <c r="BG90" i="1"/>
  <c r="BG84" i="1"/>
  <c r="BG83" i="1"/>
  <c r="BG81" i="1"/>
  <c r="BG80" i="1"/>
  <c r="AC49" i="1" l="1"/>
  <c r="AE49" i="1" s="1"/>
  <c r="AC39" i="1"/>
  <c r="AE39" i="1" s="1"/>
  <c r="AC38" i="1"/>
  <c r="AF38" i="1" s="1"/>
  <c r="AC46" i="1"/>
  <c r="AE46" i="1" s="1"/>
  <c r="AC42" i="1"/>
  <c r="AE42" i="1" s="1"/>
  <c r="AC41" i="1"/>
  <c r="AD41" i="1" s="1"/>
  <c r="AC47" i="1"/>
  <c r="AE47" i="1" s="1"/>
  <c r="AC40" i="1"/>
  <c r="AG40" i="1" s="1"/>
  <c r="AC43" i="1"/>
  <c r="AF43" i="1" s="1"/>
  <c r="AC45" i="1"/>
  <c r="AE45" i="1" s="1"/>
  <c r="AC48" i="1"/>
  <c r="AE48" i="1" s="1"/>
  <c r="AC44" i="1"/>
  <c r="AE44" i="1" s="1"/>
  <c r="AG38" i="1" l="1"/>
  <c r="AD49" i="1"/>
  <c r="AG49" i="1"/>
  <c r="AF49" i="1"/>
  <c r="AE41" i="1"/>
  <c r="AG41" i="1"/>
  <c r="AG39" i="1"/>
  <c r="AD39" i="1"/>
  <c r="AF39" i="1"/>
  <c r="AF45" i="1"/>
  <c r="AG46" i="1"/>
  <c r="AE38" i="1"/>
  <c r="AF46" i="1"/>
  <c r="AD46" i="1"/>
  <c r="AD38" i="1"/>
  <c r="AD42" i="1"/>
  <c r="AG42" i="1"/>
  <c r="AG47" i="1"/>
  <c r="AE43" i="1"/>
  <c r="AD43" i="1"/>
  <c r="AF40" i="1"/>
  <c r="AF42" i="1"/>
  <c r="AG43" i="1"/>
  <c r="AF41" i="1"/>
  <c r="AD47" i="1"/>
  <c r="AE40" i="1"/>
  <c r="AF47" i="1"/>
  <c r="AD40" i="1"/>
  <c r="AG45" i="1"/>
  <c r="AF48" i="1"/>
  <c r="AD45" i="1"/>
  <c r="AF44" i="1"/>
  <c r="AD48" i="1"/>
  <c r="AD44" i="1"/>
  <c r="AG44" i="1"/>
  <c r="AG48" i="1"/>
  <c r="BI1" i="1" l="1"/>
  <c r="E96" i="1" s="1"/>
  <c r="E66" i="1" l="1"/>
  <c r="E57" i="1"/>
  <c r="E72" i="1"/>
  <c r="J72" i="1" s="1"/>
  <c r="E75" i="1"/>
  <c r="E78" i="1"/>
  <c r="E81" i="1"/>
  <c r="E90" i="1"/>
  <c r="J84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<sst xmlns="http://schemas.openxmlformats.org/spreadsheetml/2006/main" count="4717" uniqueCount="240">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</sst>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A70" zoomScaleNormal="100" workbookViewId="0">
      <selection activeCell="AC86" sqref="AC86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8" t="s">
        <v>0</v>
      </c>
      <c r="B1" s="128"/>
      <c r="C1" s="128"/>
      <c r="D1" s="128"/>
      <c r="E1" s="128"/>
      <c r="H1" s="77"/>
      <c r="I1" s="77"/>
      <c r="J1" s="128" t="s">
        <v>1</v>
      </c>
      <c r="K1" s="128"/>
      <c r="L1" s="128"/>
      <c r="M1" s="128"/>
      <c r="N1" s="128"/>
      <c r="P1" s="77"/>
      <c r="Q1" s="77"/>
      <c r="R1" s="77"/>
      <c r="S1" s="128" t="s">
        <v>2</v>
      </c>
      <c r="T1" s="128"/>
      <c r="U1" s="128"/>
      <c r="V1" s="128"/>
      <c r="W1" s="128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7"/>
      <c r="AO1" s="77"/>
      <c r="AP1" s="107"/>
      <c r="AQ1" s="107"/>
      <c r="AR1" s="107"/>
      <c r="AS1" s="107"/>
      <c r="AU1" s="77"/>
      <c r="AV1" s="107"/>
      <c r="AW1" s="107"/>
      <c r="AX1" s="107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111111011000</v>
      </c>
    </row>
    <row r="2" spans="1:61">
      <c r="A2" s="129" t="s">
        <v>8</v>
      </c>
      <c r="B2" s="129"/>
      <c r="C2" s="129"/>
      <c r="D2" s="129"/>
      <c r="E2" s="129"/>
      <c r="F2" s="10">
        <v>46184</v>
      </c>
      <c r="G2" s="3"/>
      <c r="H2" s="77"/>
      <c r="I2" s="77"/>
      <c r="J2" s="129" t="s">
        <v>9</v>
      </c>
      <c r="K2" s="129"/>
      <c r="L2" s="129"/>
      <c r="M2" s="129"/>
      <c r="N2" s="129"/>
      <c r="O2" s="78">
        <v>46191</v>
      </c>
      <c r="P2" s="3"/>
      <c r="Q2" s="77"/>
      <c r="R2" s="77"/>
      <c r="S2" s="132" t="s">
        <v>10</v>
      </c>
      <c r="T2" s="132"/>
      <c r="U2" s="132"/>
      <c r="V2" s="132"/>
      <c r="W2" s="132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Coreia do Sul</v>
      </c>
      <c r="AD2" s="110">
        <f>VLOOKUP(AC2, $AC$80:$AF$83, 2, 0)</f>
        <v>7</v>
      </c>
      <c r="AE2" s="110">
        <f>VLOOKUP(AC2, $AC$80:$AF$83, 3, 0)</f>
        <v>2</v>
      </c>
      <c r="AF2" s="110">
        <f>VLOOKUP(AC2, $AC$80:$AF$83, 4, 0)</f>
        <v>3</v>
      </c>
      <c r="AG2" s="77"/>
      <c r="AH2" s="72">
        <v>1</v>
      </c>
      <c r="AI2" s="28" t="str">
        <f>INDEX($AI$80:$AI$83, MATCH(LARGE($AM$80:$AM$83, AH2), $AM$80:$AM$83, 0))</f>
        <v>Canadá</v>
      </c>
      <c r="AJ2" s="111">
        <f>VLOOKUP(AI2, $AI$80:$AL$83, 2, 0)</f>
        <v>7</v>
      </c>
      <c r="AK2" s="111">
        <f>VLOOKUP(AI2, $AI$80:$AL$83, 3, 0)</f>
        <v>3</v>
      </c>
      <c r="AL2" s="111">
        <f>VLOOKUP(AI2, $AI$80:$AL$83, 4, 0)</f>
        <v>5</v>
      </c>
      <c r="AM2" s="107"/>
      <c r="AO2" s="77"/>
      <c r="AP2" s="107"/>
      <c r="AQ2" s="107"/>
      <c r="AR2" s="107"/>
      <c r="AS2" s="107"/>
      <c r="AU2" s="77"/>
      <c r="AV2" s="107"/>
      <c r="AW2" s="107"/>
      <c r="AX2" s="107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7">
        <v>2</v>
      </c>
      <c r="C3" s="110" t="s">
        <v>12</v>
      </c>
      <c r="D3" s="107">
        <v>0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07">
        <v>2</v>
      </c>
      <c r="L3" s="110" t="s">
        <v>12</v>
      </c>
      <c r="M3" s="107">
        <v>0</v>
      </c>
      <c r="N3" s="75" t="s">
        <v>13</v>
      </c>
      <c r="O3" s="79" t="s">
        <v>16</v>
      </c>
      <c r="P3" s="4">
        <f>IF(K3="", 0, IF(K3&gt;M3, 3, IF(K3=M3, 1, 0)))</f>
        <v>3</v>
      </c>
      <c r="Q3" s="77">
        <f>IF(M3="", 0, IF(M3&gt;K3, 3, IF(M3=K3, 1, 0)))</f>
        <v>0</v>
      </c>
      <c r="R3" s="77"/>
      <c r="S3" s="72" t="s">
        <v>17</v>
      </c>
      <c r="T3" s="107">
        <v>1</v>
      </c>
      <c r="U3" s="111" t="s">
        <v>12</v>
      </c>
      <c r="V3" s="107">
        <v>1</v>
      </c>
      <c r="W3" s="28" t="s">
        <v>18</v>
      </c>
      <c r="X3" s="8" t="s">
        <v>14</v>
      </c>
      <c r="Y3" s="77">
        <f>IF(T3="", 0, IF(T3&gt;V3, 3, IF(T3=V3, 1, 0)))</f>
        <v>1</v>
      </c>
      <c r="Z3" s="77">
        <f>IF(V3="", 0, IF(V3&gt;T3, 3, IF(V3=T3, 1, 0)))</f>
        <v>1</v>
      </c>
      <c r="AA3" s="77"/>
      <c r="AB3" s="40">
        <v>2</v>
      </c>
      <c r="AC3" s="27" t="str">
        <f t="shared" ref="AC3:AC5" si="0">INDEX($AC$80:$AC$83, MATCH(LARGE($AG$80:$AG$83, AB3), $AG$80:$AG$83, 0))</f>
        <v>México</v>
      </c>
      <c r="AD3" s="110">
        <f t="shared" ref="AD3:AD5" si="1">VLOOKUP(AC3, $AC$80:$AF$83, 2, 0)</f>
        <v>6</v>
      </c>
      <c r="AE3" s="110">
        <f t="shared" ref="AE3:AE5" si="2">VLOOKUP(AC3, $AC$80:$AF$83, 3, 0)</f>
        <v>2</v>
      </c>
      <c r="AF3" s="110">
        <f t="shared" ref="AF3:AF5" si="3">VLOOKUP(AC3, $AC$80:$AF$83, 4, 0)</f>
        <v>3</v>
      </c>
      <c r="AG3" s="77"/>
      <c r="AH3" s="72">
        <v>2</v>
      </c>
      <c r="AI3" s="28" t="str">
        <f>INDEX($AI$80:$AI$83, MATCH(LARGE($AM$80:$AM$83, AH3), $AM$80:$AM$83, 0))</f>
        <v>Suíça</v>
      </c>
      <c r="AJ3" s="111">
        <f t="shared" ref="AJ3:AJ5" si="4">VLOOKUP(AI3, $AI$80:$AL$83, 2, 0)</f>
        <v>7</v>
      </c>
      <c r="AK3" s="111">
        <f t="shared" ref="AK3:AK5" si="5">VLOOKUP(AI3, $AI$80:$AL$83, 3, 0)</f>
        <v>3</v>
      </c>
      <c r="AL3" s="111">
        <f t="shared" ref="AL3:AL5" si="6">VLOOKUP(AI3, $AI$80:$AL$83, 4, 0)</f>
        <v>4</v>
      </c>
      <c r="AM3" s="107"/>
      <c r="AO3" s="77"/>
      <c r="AP3" s="107"/>
      <c r="AQ3" s="107"/>
      <c r="AR3" s="107"/>
      <c r="AS3" s="107"/>
      <c r="AU3" s="77"/>
      <c r="AV3" s="107"/>
      <c r="AW3" s="107"/>
      <c r="AX3" s="107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29" t="s">
        <v>19</v>
      </c>
      <c r="B4" s="129"/>
      <c r="C4" s="129"/>
      <c r="D4" s="129"/>
      <c r="E4" s="129"/>
      <c r="F4" s="10">
        <v>46184</v>
      </c>
      <c r="G4" s="3"/>
      <c r="H4" s="77"/>
      <c r="I4" s="77"/>
      <c r="J4" s="132" t="s">
        <v>20</v>
      </c>
      <c r="K4" s="132"/>
      <c r="L4" s="132"/>
      <c r="M4" s="132"/>
      <c r="N4" s="132"/>
      <c r="O4" s="10">
        <v>46191</v>
      </c>
      <c r="P4" s="3"/>
      <c r="Q4" s="77"/>
      <c r="R4" s="77"/>
      <c r="S4" s="132" t="s">
        <v>21</v>
      </c>
      <c r="T4" s="132"/>
      <c r="U4" s="132"/>
      <c r="V4" s="132"/>
      <c r="W4" s="132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Tchéquia</v>
      </c>
      <c r="AD4" s="110">
        <f t="shared" si="1"/>
        <v>4</v>
      </c>
      <c r="AE4" s="110">
        <f t="shared" si="2"/>
        <v>1</v>
      </c>
      <c r="AF4" s="110">
        <f t="shared" si="3"/>
        <v>3</v>
      </c>
      <c r="AG4" s="77"/>
      <c r="AH4" s="72">
        <v>3</v>
      </c>
      <c r="AI4" s="28" t="str">
        <f t="shared" ref="AI4:AI5" si="7">INDEX($AI$80:$AI$83, MATCH(LARGE($AM$80:$AM$83, AH4), $AM$80:$AM$83, 0))</f>
        <v>Bósnia e H.</v>
      </c>
      <c r="AJ4" s="111">
        <f t="shared" si="4"/>
        <v>3</v>
      </c>
      <c r="AK4" s="111">
        <f t="shared" si="5"/>
        <v>-2</v>
      </c>
      <c r="AL4" s="111">
        <f t="shared" si="6"/>
        <v>1</v>
      </c>
      <c r="AM4" s="107"/>
      <c r="AO4" s="77"/>
      <c r="AP4" s="107"/>
      <c r="AQ4" s="107"/>
      <c r="AR4" s="107"/>
      <c r="AS4" s="107"/>
      <c r="AU4" s="77"/>
      <c r="AV4" s="107"/>
      <c r="AW4" s="107"/>
      <c r="AX4" s="107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7">
        <v>1</v>
      </c>
      <c r="C5" s="110" t="s">
        <v>12</v>
      </c>
      <c r="D5" s="107">
        <v>1</v>
      </c>
      <c r="E5" s="75" t="s">
        <v>15</v>
      </c>
      <c r="F5" s="8" t="s">
        <v>23</v>
      </c>
      <c r="G5" s="5">
        <f t="shared" ref="G5" si="8">IF(B5="", 0, IF(B5&gt;D5, 3, IF(B5=D5, 1, 0)))</f>
        <v>1</v>
      </c>
      <c r="H5" s="77">
        <f t="shared" ref="H5" si="9">IF(D5="", 0, IF(D5&gt;B5, 3, IF(D5=B5, 1, 0)))</f>
        <v>1</v>
      </c>
      <c r="I5" s="77"/>
      <c r="J5" s="72" t="s">
        <v>17</v>
      </c>
      <c r="K5" s="107">
        <v>1</v>
      </c>
      <c r="L5" s="111" t="s">
        <v>12</v>
      </c>
      <c r="M5" s="107">
        <v>0</v>
      </c>
      <c r="N5" s="28" t="s">
        <v>24</v>
      </c>
      <c r="O5" s="8" t="s">
        <v>14</v>
      </c>
      <c r="P5" s="4">
        <f t="shared" ref="P5" si="10">IF(K5="", 0, IF(K5&gt;M5, 3, IF(K5=M5, 1, 0)))</f>
        <v>3</v>
      </c>
      <c r="Q5" s="77">
        <f t="shared" ref="Q5" si="11">IF(M5="", 0, IF(M5&gt;K5, 3, IF(M5=K5, 1, 0)))</f>
        <v>0</v>
      </c>
      <c r="R5" s="77"/>
      <c r="S5" s="72" t="s">
        <v>24</v>
      </c>
      <c r="T5" s="107">
        <v>1</v>
      </c>
      <c r="U5" s="111" t="s">
        <v>12</v>
      </c>
      <c r="V5" s="107">
        <v>0</v>
      </c>
      <c r="W5" s="28" t="s">
        <v>25</v>
      </c>
      <c r="X5" s="8" t="s">
        <v>14</v>
      </c>
      <c r="Y5" s="77">
        <f t="shared" ref="Y5" si="12">IF(T5="", 0, IF(T5&gt;V5, 3, IF(T5=V5, 1, 0)))</f>
        <v>3</v>
      </c>
      <c r="Z5" s="77">
        <f t="shared" ref="Z5" si="13">IF(V5="", 0, IF(V5&gt;T5, 3, IF(V5=T5, 1, 0)))</f>
        <v>0</v>
      </c>
      <c r="AA5" s="77"/>
      <c r="AB5" s="40">
        <v>4</v>
      </c>
      <c r="AC5" s="27" t="str">
        <f t="shared" si="0"/>
        <v>África do Sul</v>
      </c>
      <c r="AD5" s="110">
        <f t="shared" si="1"/>
        <v>0</v>
      </c>
      <c r="AE5" s="110">
        <f t="shared" si="2"/>
        <v>-5</v>
      </c>
      <c r="AF5" s="110">
        <f t="shared" si="3"/>
        <v>0</v>
      </c>
      <c r="AG5" s="77"/>
      <c r="AH5" s="72">
        <v>4</v>
      </c>
      <c r="AI5" s="28" t="str">
        <f t="shared" si="7"/>
        <v>Catar</v>
      </c>
      <c r="AJ5" s="111">
        <f t="shared" si="4"/>
        <v>0</v>
      </c>
      <c r="AK5" s="111">
        <f t="shared" si="5"/>
        <v>-4</v>
      </c>
      <c r="AL5" s="111">
        <f t="shared" si="6"/>
        <v>1</v>
      </c>
      <c r="AM5" s="107"/>
      <c r="AO5" s="77"/>
      <c r="AP5" s="107"/>
      <c r="AQ5" s="107"/>
      <c r="AR5" s="107"/>
      <c r="AS5" s="107"/>
      <c r="AU5" s="77"/>
      <c r="AV5" s="107"/>
      <c r="AW5" s="107"/>
      <c r="AX5" s="107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2" t="s">
        <v>26</v>
      </c>
      <c r="B6" s="132"/>
      <c r="C6" s="132"/>
      <c r="D6" s="132"/>
      <c r="E6" s="132"/>
      <c r="F6" s="10">
        <v>46185</v>
      </c>
      <c r="G6" s="3"/>
      <c r="H6" s="77"/>
      <c r="I6" s="77"/>
      <c r="J6" s="132" t="s">
        <v>27</v>
      </c>
      <c r="K6" s="132"/>
      <c r="L6" s="132"/>
      <c r="M6" s="132"/>
      <c r="N6" s="132"/>
      <c r="O6" s="10">
        <v>46191</v>
      </c>
      <c r="P6" s="3"/>
      <c r="Q6" s="77"/>
      <c r="R6" s="77"/>
      <c r="S6" s="133" t="s">
        <v>28</v>
      </c>
      <c r="T6" s="133"/>
      <c r="U6" s="133"/>
      <c r="V6" s="133"/>
      <c r="W6" s="133"/>
      <c r="X6" s="10">
        <v>46197</v>
      </c>
      <c r="Y6" s="77"/>
      <c r="Z6" s="77"/>
      <c r="AA6" s="77"/>
      <c r="AC6" s="77"/>
      <c r="AD6" s="107"/>
      <c r="AE6" s="107"/>
      <c r="AF6" s="107"/>
      <c r="AG6" s="77"/>
      <c r="AI6" s="77"/>
      <c r="AJ6" s="107"/>
      <c r="AK6" s="107"/>
      <c r="AL6" s="107"/>
      <c r="AM6" s="107"/>
      <c r="AO6" s="77"/>
      <c r="AP6" s="107"/>
      <c r="AQ6" s="107"/>
      <c r="AR6" s="107"/>
      <c r="AS6" s="107"/>
      <c r="AU6" s="77"/>
      <c r="AV6" s="107"/>
      <c r="AW6" s="107"/>
      <c r="AX6" s="107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7">
        <v>2</v>
      </c>
      <c r="C7" s="111" t="s">
        <v>12</v>
      </c>
      <c r="D7" s="107">
        <v>0</v>
      </c>
      <c r="E7" s="28" t="s">
        <v>24</v>
      </c>
      <c r="F7" s="8" t="s">
        <v>14</v>
      </c>
      <c r="G7" s="5">
        <f t="shared" ref="G7" si="14">IF(B7="", 0, IF(B7&gt;D7, 3, IF(B7=D7, 1, 0)))</f>
        <v>3</v>
      </c>
      <c r="H7" s="77">
        <f t="shared" ref="H7" si="15">IF(D7="", 0, IF(D7&gt;B7, 3, IF(D7=B7, 1, 0)))</f>
        <v>0</v>
      </c>
      <c r="I7" s="77"/>
      <c r="J7" s="72" t="s">
        <v>18</v>
      </c>
      <c r="K7" s="107">
        <v>2</v>
      </c>
      <c r="L7" s="111" t="s">
        <v>12</v>
      </c>
      <c r="M7" s="107">
        <v>1</v>
      </c>
      <c r="N7" s="28" t="s">
        <v>25</v>
      </c>
      <c r="O7" s="8" t="s">
        <v>29</v>
      </c>
      <c r="P7" s="4">
        <f t="shared" ref="P7" si="16">IF(K7="", 0, IF(K7&gt;M7, 3, IF(K7=M7, 1, 0)))</f>
        <v>3</v>
      </c>
      <c r="Q7" s="77">
        <f t="shared" ref="Q7" si="17">IF(M7="", 0, IF(M7&gt;K7, 3, IF(M7=K7, 1, 0)))</f>
        <v>0</v>
      </c>
      <c r="R7" s="77"/>
      <c r="S7" s="42" t="s">
        <v>30</v>
      </c>
      <c r="T7" s="107">
        <v>2</v>
      </c>
      <c r="U7" s="113" t="s">
        <v>12</v>
      </c>
      <c r="V7" s="107">
        <v>1</v>
      </c>
      <c r="W7" s="29" t="s">
        <v>31</v>
      </c>
      <c r="X7" s="8" t="s">
        <v>29</v>
      </c>
      <c r="Y7" s="77">
        <f t="shared" ref="Y7" si="18">IF(T7="", 0, IF(T7&gt;V7, 3, IF(T7=V7, 1, 0)))</f>
        <v>3</v>
      </c>
      <c r="Z7" s="77">
        <f t="shared" ref="Z7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7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7"/>
      <c r="AO7" s="77"/>
      <c r="AP7" s="107"/>
      <c r="AQ7" s="107"/>
      <c r="AR7" s="107"/>
      <c r="AS7" s="107"/>
      <c r="AU7" s="77"/>
      <c r="AV7" s="107"/>
      <c r="AW7" s="107"/>
      <c r="AX7" s="107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4" t="s">
        <v>34</v>
      </c>
      <c r="B8" s="134"/>
      <c r="C8" s="134"/>
      <c r="D8" s="134"/>
      <c r="E8" s="134"/>
      <c r="F8" s="10">
        <v>46185</v>
      </c>
      <c r="G8" s="3"/>
      <c r="H8" s="77"/>
      <c r="I8" s="77"/>
      <c r="J8" s="129" t="s">
        <v>35</v>
      </c>
      <c r="K8" s="129"/>
      <c r="L8" s="129"/>
      <c r="M8" s="129"/>
      <c r="N8" s="129"/>
      <c r="O8" s="78">
        <v>46191</v>
      </c>
      <c r="P8" s="3"/>
      <c r="Q8" s="77"/>
      <c r="R8" s="77"/>
      <c r="S8" s="133" t="s">
        <v>36</v>
      </c>
      <c r="T8" s="133"/>
      <c r="U8" s="133"/>
      <c r="V8" s="133"/>
      <c r="W8" s="133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3">
        <f>VLOOKUP(AC8, $AO$80:$AR$83, 2, 0)</f>
        <v>9</v>
      </c>
      <c r="AE8" s="113">
        <f>VLOOKUP(AC8, $AO$80:$AR$83, 3, 0)</f>
        <v>5</v>
      </c>
      <c r="AF8" s="113">
        <f>VLOOKUP(AC8, $AO$80:$AR$83, 4, 0)</f>
        <v>9</v>
      </c>
      <c r="AG8" s="107"/>
      <c r="AH8" s="71">
        <v>1</v>
      </c>
      <c r="AI8" s="30" t="str">
        <f>INDEX($AU$80:$AU$83, MATCH(LARGE($AY$80:$AY$83, AH8), $AY$80:$AY$83, 0))</f>
        <v>Estados Unidos</v>
      </c>
      <c r="AJ8" s="112">
        <f>VLOOKUP(AI8, $AU$80:$AX$83, 2, 0)</f>
        <v>7</v>
      </c>
      <c r="AK8" s="112">
        <f>VLOOKUP(AI8, $AU$80:$AX$83, 3, 0)</f>
        <v>3</v>
      </c>
      <c r="AL8" s="112">
        <f>VLOOKUP(AI8, $AU$80:$AX$83, 4, 0)</f>
        <v>4</v>
      </c>
      <c r="AM8" s="107"/>
      <c r="AO8" s="77"/>
      <c r="AP8" s="107"/>
      <c r="AQ8" s="107"/>
      <c r="AR8" s="107"/>
      <c r="AS8" s="107"/>
      <c r="AU8" s="77"/>
      <c r="AV8" s="107"/>
      <c r="AW8" s="107"/>
      <c r="AX8" s="107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7">
        <v>3</v>
      </c>
      <c r="C9" s="112" t="s">
        <v>12</v>
      </c>
      <c r="D9" s="107">
        <v>1</v>
      </c>
      <c r="E9" s="30" t="s">
        <v>38</v>
      </c>
      <c r="F9" s="8" t="s">
        <v>39</v>
      </c>
      <c r="G9" s="5">
        <f t="shared" ref="G9" si="20">IF(B9="", 0, IF(B9&gt;D9, 3, IF(B9=D9, 1, 0)))</f>
        <v>3</v>
      </c>
      <c r="H9" s="77">
        <f t="shared" ref="H9" si="21">IF(D9="", 0, IF(D9&gt;B9, 3, IF(D9=B9, 1, 0)))</f>
        <v>0</v>
      </c>
      <c r="I9" s="77"/>
      <c r="J9" s="40" t="s">
        <v>11</v>
      </c>
      <c r="K9" s="107">
        <v>0</v>
      </c>
      <c r="L9" s="110" t="s">
        <v>12</v>
      </c>
      <c r="M9" s="107">
        <v>1</v>
      </c>
      <c r="N9" s="75" t="s">
        <v>22</v>
      </c>
      <c r="O9" s="79" t="s">
        <v>39</v>
      </c>
      <c r="P9" s="4">
        <f t="shared" ref="P9" si="22">IF(K9="", 0, IF(K9&gt;M9, 3, IF(K9=M9, 1, 0)))</f>
        <v>0</v>
      </c>
      <c r="Q9" s="77">
        <f t="shared" ref="Q9" si="23">IF(M9="", 0, IF(M9&gt;K9, 3, IF(M9=K9, 1, 0)))</f>
        <v>3</v>
      </c>
      <c r="R9" s="77"/>
      <c r="S9" s="42" t="s">
        <v>40</v>
      </c>
      <c r="T9" s="107">
        <v>1</v>
      </c>
      <c r="U9" s="113" t="s">
        <v>12</v>
      </c>
      <c r="V9" s="107">
        <v>2</v>
      </c>
      <c r="W9" s="29" t="s">
        <v>41</v>
      </c>
      <c r="X9" s="8" t="s">
        <v>29</v>
      </c>
      <c r="Y9" s="77">
        <f t="shared" ref="Y9" si="24">IF(T9="", 0, IF(T9&gt;V9, 3, IF(T9=V9, 1, 0)))</f>
        <v>0</v>
      </c>
      <c r="Z9" s="77">
        <f t="shared" ref="Z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3">
        <f t="shared" ref="AD9:AD11" si="26">VLOOKUP(AC9, $AO$80:$AR$83, 2, 0)</f>
        <v>6</v>
      </c>
      <c r="AE9" s="113">
        <f t="shared" ref="AE9:AE11" si="27">VLOOKUP(AC9, $AO$80:$AR$83, 3, 0)</f>
        <v>2</v>
      </c>
      <c r="AF9" s="113">
        <f t="shared" ref="AF9:AF11" si="28">VLOOKUP(AC9, $AO$80:$AR$83, 4, 0)</f>
        <v>6</v>
      </c>
      <c r="AG9" s="107"/>
      <c r="AH9" s="71">
        <v>2</v>
      </c>
      <c r="AI9" s="30" t="str">
        <f t="shared" ref="AI9:AI11" si="29">INDEX($AU$80:$AU$83, MATCH(LARGE($AY$80:$AY$83, AH9), $AY$80:$AY$83, 0))</f>
        <v>Turquia</v>
      </c>
      <c r="AJ9" s="112">
        <f t="shared" ref="AJ9:AJ11" si="30">VLOOKUP(AI9, $AU$80:$AX$83, 2, 0)</f>
        <v>5</v>
      </c>
      <c r="AK9" s="112">
        <f t="shared" ref="AK9:AK11" si="31">VLOOKUP(AI9, $AU$80:$AX$83, 3, 0)</f>
        <v>1</v>
      </c>
      <c r="AL9" s="112">
        <f t="shared" ref="AL9:AL11" si="32">VLOOKUP(AI9, $AU$80:$AX$83, 4, 0)</f>
        <v>2</v>
      </c>
      <c r="AM9" s="107"/>
      <c r="AO9" s="77"/>
      <c r="AP9" s="107"/>
      <c r="AQ9" s="107"/>
      <c r="AR9" s="107"/>
      <c r="AS9" s="107"/>
      <c r="AU9" s="77"/>
      <c r="AV9" s="107"/>
      <c r="AW9" s="107"/>
      <c r="AX9" s="107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2" t="s">
        <v>42</v>
      </c>
      <c r="B10" s="132"/>
      <c r="C10" s="132"/>
      <c r="D10" s="132"/>
      <c r="E10" s="132"/>
      <c r="F10" s="10">
        <v>46186</v>
      </c>
      <c r="G10" s="3"/>
      <c r="H10" s="77"/>
      <c r="I10" s="77"/>
      <c r="J10" s="134" t="s">
        <v>43</v>
      </c>
      <c r="K10" s="134"/>
      <c r="L10" s="134"/>
      <c r="M10" s="134"/>
      <c r="N10" s="134"/>
      <c r="O10" s="10">
        <v>46192</v>
      </c>
      <c r="P10" s="3"/>
      <c r="Q10" s="77"/>
      <c r="R10" s="77"/>
      <c r="S10" s="129" t="s">
        <v>44</v>
      </c>
      <c r="T10" s="129"/>
      <c r="U10" s="129"/>
      <c r="V10" s="129"/>
      <c r="W10" s="129"/>
      <c r="X10" s="10">
        <v>46197</v>
      </c>
      <c r="Y10" s="77"/>
      <c r="Z10" s="77"/>
      <c r="AA10" s="77"/>
      <c r="AB10" s="42">
        <v>3</v>
      </c>
      <c r="AC10" s="29" t="str">
        <f t="shared" ref="AC10:AC11" si="33">INDEX($AO$80:$AO$83, MATCH(LARGE($AS$80:$AS$83, AB10), $AS$80:$AS$83, 0))</f>
        <v>Escócia</v>
      </c>
      <c r="AD10" s="113">
        <f t="shared" si="26"/>
        <v>3</v>
      </c>
      <c r="AE10" s="113">
        <f t="shared" si="27"/>
        <v>0</v>
      </c>
      <c r="AF10" s="113">
        <f t="shared" si="28"/>
        <v>4</v>
      </c>
      <c r="AG10" s="107"/>
      <c r="AH10" s="71">
        <v>3</v>
      </c>
      <c r="AI10" s="30" t="str">
        <f t="shared" si="29"/>
        <v>Paraguai</v>
      </c>
      <c r="AJ10" s="112">
        <f t="shared" si="30"/>
        <v>4</v>
      </c>
      <c r="AK10" s="112">
        <f t="shared" si="31"/>
        <v>-1</v>
      </c>
      <c r="AL10" s="112">
        <f t="shared" si="32"/>
        <v>3</v>
      </c>
      <c r="AM10" s="107"/>
      <c r="AO10" s="77"/>
      <c r="AP10" s="107"/>
      <c r="AQ10" s="107"/>
      <c r="AR10" s="107"/>
      <c r="AS10" s="107"/>
      <c r="AU10" s="77"/>
      <c r="AV10" s="107"/>
      <c r="AW10" s="107"/>
      <c r="AX10" s="107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7">
        <v>0</v>
      </c>
      <c r="C11" s="111" t="s">
        <v>12</v>
      </c>
      <c r="D11" s="107">
        <v>2</v>
      </c>
      <c r="E11" s="28" t="s">
        <v>17</v>
      </c>
      <c r="F11" s="8" t="s">
        <v>14</v>
      </c>
      <c r="G11" s="5">
        <f t="shared" ref="G11" si="34">IF(B11="", 0, IF(B11&gt;D11, 3, IF(B11=D11, 1, 0)))</f>
        <v>0</v>
      </c>
      <c r="H11" s="77">
        <f t="shared" ref="H11" si="35">IF(D11="", 0, IF(D11&gt;B11, 3, IF(D11=B11, 1, 0)))</f>
        <v>3</v>
      </c>
      <c r="I11" s="77"/>
      <c r="J11" s="71" t="s">
        <v>37</v>
      </c>
      <c r="K11" s="107">
        <v>1</v>
      </c>
      <c r="L11" s="112" t="s">
        <v>12</v>
      </c>
      <c r="M11" s="107">
        <v>0</v>
      </c>
      <c r="N11" s="30" t="s">
        <v>45</v>
      </c>
      <c r="O11" s="8" t="s">
        <v>14</v>
      </c>
      <c r="P11" s="4">
        <f t="shared" ref="P11" si="36">IF(K11="", 0, IF(K11&gt;M11, 3, IF(K11=M11, 1, 0)))</f>
        <v>3</v>
      </c>
      <c r="Q11" s="77">
        <f t="shared" ref="Q11" si="37">IF(M11="", 0, IF(M11&gt;K11, 3, IF(M11=K11, 1, 0)))</f>
        <v>0</v>
      </c>
      <c r="R11" s="77"/>
      <c r="S11" s="40" t="s">
        <v>13</v>
      </c>
      <c r="T11" s="107">
        <v>0</v>
      </c>
      <c r="U11" s="110" t="s">
        <v>12</v>
      </c>
      <c r="V11" s="107">
        <v>1</v>
      </c>
      <c r="W11" s="75" t="s">
        <v>22</v>
      </c>
      <c r="X11" s="8" t="s">
        <v>39</v>
      </c>
      <c r="Y11" s="77">
        <f t="shared" ref="Y11" si="38">IF(T11="", 0, IF(T11&gt;V11, 3, IF(T11=V11, 1, 0)))</f>
        <v>0</v>
      </c>
      <c r="Z11" s="77">
        <f t="shared" ref="Z11" si="39">IF(V11="", 0, IF(V11&gt;T11, 3, IF(V11=T11, 1, 0)))</f>
        <v>3</v>
      </c>
      <c r="AA11" s="77"/>
      <c r="AB11" s="42">
        <v>4</v>
      </c>
      <c r="AC11" s="29" t="str">
        <f t="shared" si="33"/>
        <v>Haiti</v>
      </c>
      <c r="AD11" s="113">
        <f t="shared" si="26"/>
        <v>0</v>
      </c>
      <c r="AE11" s="113">
        <f t="shared" si="27"/>
        <v>-7</v>
      </c>
      <c r="AF11" s="113">
        <f t="shared" si="28"/>
        <v>2</v>
      </c>
      <c r="AG11" s="107"/>
      <c r="AH11" s="71">
        <v>4</v>
      </c>
      <c r="AI11" s="30" t="str">
        <f t="shared" si="29"/>
        <v>Austrália</v>
      </c>
      <c r="AJ11" s="112">
        <f t="shared" si="30"/>
        <v>0</v>
      </c>
      <c r="AK11" s="112">
        <f t="shared" si="31"/>
        <v>-3</v>
      </c>
      <c r="AL11" s="112">
        <f t="shared" si="32"/>
        <v>0</v>
      </c>
      <c r="AM11" s="107"/>
      <c r="AO11" s="77"/>
      <c r="AP11" s="107"/>
      <c r="AQ11" s="107"/>
      <c r="AR11" s="107"/>
      <c r="AS11" s="107"/>
      <c r="AU11" s="77"/>
      <c r="AV11" s="107"/>
      <c r="AW11" s="107"/>
      <c r="AX11" s="107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3" t="s">
        <v>46</v>
      </c>
      <c r="B12" s="133"/>
      <c r="C12" s="133"/>
      <c r="D12" s="133"/>
      <c r="E12" s="133"/>
      <c r="F12" s="10">
        <v>46186</v>
      </c>
      <c r="G12" s="3"/>
      <c r="H12" s="77"/>
      <c r="I12" s="77"/>
      <c r="J12" s="133" t="s">
        <v>47</v>
      </c>
      <c r="K12" s="133"/>
      <c r="L12" s="133"/>
      <c r="M12" s="133"/>
      <c r="N12" s="133"/>
      <c r="O12" s="10">
        <v>46192</v>
      </c>
      <c r="P12" s="3"/>
      <c r="Q12" s="77"/>
      <c r="R12" s="77"/>
      <c r="S12" s="129" t="s">
        <v>48</v>
      </c>
      <c r="T12" s="129"/>
      <c r="U12" s="129"/>
      <c r="V12" s="129"/>
      <c r="W12" s="129"/>
      <c r="X12" s="10">
        <v>46197</v>
      </c>
      <c r="Y12" s="77"/>
      <c r="Z12" s="77"/>
      <c r="AA12" s="77"/>
      <c r="AC12" s="77"/>
      <c r="AD12" s="107"/>
      <c r="AE12" s="107"/>
      <c r="AF12" s="107"/>
      <c r="AG12" s="77"/>
      <c r="AI12" s="77"/>
      <c r="AJ12" s="107"/>
      <c r="AK12" s="107"/>
      <c r="AL12" s="107"/>
      <c r="AM12" s="107"/>
      <c r="AO12" s="77"/>
      <c r="AP12" s="107"/>
      <c r="AQ12" s="107"/>
      <c r="AR12" s="107"/>
      <c r="AS12" s="107"/>
      <c r="AU12" s="77"/>
      <c r="AV12" s="107"/>
      <c r="AW12" s="107"/>
      <c r="AX12" s="107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7">
        <v>3</v>
      </c>
      <c r="C13" s="113" t="s">
        <v>12</v>
      </c>
      <c r="D13" s="107">
        <v>2</v>
      </c>
      <c r="E13" s="29" t="s">
        <v>30</v>
      </c>
      <c r="F13" s="8" t="s">
        <v>29</v>
      </c>
      <c r="G13" s="5">
        <f t="shared" ref="G13" si="40">IF(B13="", 0, IF(B13&gt;D13, 3, IF(B13=D13, 1, 0)))</f>
        <v>3</v>
      </c>
      <c r="H13" s="77">
        <f t="shared" ref="H13" si="41">IF(D13="", 0, IF(D13&gt;B13, 3, IF(D13=B13, 1, 0)))</f>
        <v>0</v>
      </c>
      <c r="I13" s="77"/>
      <c r="J13" s="42" t="s">
        <v>40</v>
      </c>
      <c r="K13" s="107">
        <v>0</v>
      </c>
      <c r="L13" s="113" t="s">
        <v>12</v>
      </c>
      <c r="M13" s="107">
        <v>2</v>
      </c>
      <c r="N13" s="29" t="s">
        <v>30</v>
      </c>
      <c r="O13" s="8" t="s">
        <v>29</v>
      </c>
      <c r="P13" s="4">
        <f t="shared" ref="P13" si="42">IF(K13="", 0, IF(K13&gt;M13, 3, IF(K13=M13, 1, 0)))</f>
        <v>0</v>
      </c>
      <c r="Q13" s="77">
        <f t="shared" ref="Q13" si="43">IF(M13="", 0, IF(M13&gt;K13, 3, IF(M13=K13, 1, 0)))</f>
        <v>3</v>
      </c>
      <c r="R13" s="77"/>
      <c r="S13" s="40" t="s">
        <v>15</v>
      </c>
      <c r="T13" s="107">
        <v>0</v>
      </c>
      <c r="U13" s="110" t="s">
        <v>12</v>
      </c>
      <c r="V13" s="107">
        <v>1</v>
      </c>
      <c r="W13" s="75" t="s">
        <v>11</v>
      </c>
      <c r="X13" s="8" t="s">
        <v>39</v>
      </c>
      <c r="Y13" s="77">
        <f t="shared" ref="Y13" si="44">IF(T13="", 0, IF(T13&gt;V13, 3, IF(T13=V13, 1, 0)))</f>
        <v>0</v>
      </c>
      <c r="Z13" s="77">
        <f t="shared" ref="Z13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7"/>
      <c r="AO13" s="77"/>
      <c r="AP13" s="107"/>
      <c r="AQ13" s="107"/>
      <c r="AR13" s="107"/>
      <c r="AS13" s="107"/>
      <c r="AU13" s="77"/>
      <c r="AV13" s="107"/>
      <c r="AW13" s="107"/>
      <c r="AX13" s="107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3" t="s">
        <v>51</v>
      </c>
      <c r="B14" s="133"/>
      <c r="C14" s="133"/>
      <c r="D14" s="133"/>
      <c r="E14" s="133"/>
      <c r="F14" s="10">
        <v>46186</v>
      </c>
      <c r="G14" s="3"/>
      <c r="H14" s="77"/>
      <c r="I14" s="77"/>
      <c r="J14" s="133" t="s">
        <v>52</v>
      </c>
      <c r="K14" s="133"/>
      <c r="L14" s="133"/>
      <c r="M14" s="133"/>
      <c r="N14" s="133"/>
      <c r="O14" s="10">
        <v>46192</v>
      </c>
      <c r="P14" s="3"/>
      <c r="Q14" s="77"/>
      <c r="R14" s="77"/>
      <c r="S14" s="130" t="s">
        <v>53</v>
      </c>
      <c r="T14" s="130"/>
      <c r="U14" s="130"/>
      <c r="V14" s="130"/>
      <c r="W14" s="130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Equador</v>
      </c>
      <c r="AD14" s="114">
        <f>VLOOKUP(AC14, $AC$86:$AF$89, 2, 0)</f>
        <v>7</v>
      </c>
      <c r="AE14" s="114">
        <f>VLOOKUP(AC14, $AC$86:$AF$89, 3, 0)</f>
        <v>4</v>
      </c>
      <c r="AF14" s="114">
        <f>VLOOKUP(AC14, $AC$86:$AF$89, 4, 0)</f>
        <v>6</v>
      </c>
      <c r="AG14" s="77"/>
      <c r="AH14" s="66">
        <v>1</v>
      </c>
      <c r="AI14" s="32" t="str">
        <f>INDEX($AI$86:$AI$89, MATCH(LARGE($AM$86:$AM$89, AH14), $AM$86:$AM$89, 0))</f>
        <v>Holanda</v>
      </c>
      <c r="AJ14" s="115">
        <f>VLOOKUP(AI14, $AI$86:$AL$89, 2, 0)</f>
        <v>5</v>
      </c>
      <c r="AK14" s="115">
        <f>VLOOKUP(AI14, $AI$86:$AL$89, 3, 0)</f>
        <v>2</v>
      </c>
      <c r="AL14" s="115">
        <f>VLOOKUP(AI14, $AI$86:$AL$89, 4, 0)</f>
        <v>5</v>
      </c>
      <c r="AM14" s="107"/>
      <c r="AO14" s="77"/>
      <c r="AP14" s="107"/>
      <c r="AQ14" s="107"/>
      <c r="AR14" s="107"/>
      <c r="AS14" s="107"/>
      <c r="AU14" s="77"/>
      <c r="AV14" s="107"/>
      <c r="AW14" s="107"/>
      <c r="AX14" s="107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7">
        <v>0</v>
      </c>
      <c r="C15" s="113" t="s">
        <v>12</v>
      </c>
      <c r="D15" s="107">
        <v>3</v>
      </c>
      <c r="E15" s="29" t="s">
        <v>40</v>
      </c>
      <c r="F15" s="8" t="s">
        <v>39</v>
      </c>
      <c r="G15" s="5">
        <f t="shared" ref="G15" si="46">IF(B15="", 0, IF(B15&gt;D15, 3, IF(B15=D15, 1, 0)))</f>
        <v>0</v>
      </c>
      <c r="H15" s="77">
        <f t="shared" ref="H15" si="47">IF(D15="", 0, IF(D15&gt;B15, 3, IF(D15=B15, 1, 0)))</f>
        <v>3</v>
      </c>
      <c r="I15" s="77"/>
      <c r="J15" s="42" t="s">
        <v>41</v>
      </c>
      <c r="K15" s="107">
        <v>4</v>
      </c>
      <c r="L15" s="113" t="s">
        <v>12</v>
      </c>
      <c r="M15" s="107">
        <v>1</v>
      </c>
      <c r="N15" s="29" t="s">
        <v>31</v>
      </c>
      <c r="O15" s="8" t="s">
        <v>54</v>
      </c>
      <c r="P15" s="4">
        <f t="shared" ref="P15" si="48">IF(K15="", 0, IF(K15&gt;M15, 3, IF(K15=M15, 1, 0)))</f>
        <v>3</v>
      </c>
      <c r="Q15" s="77">
        <f t="shared" ref="Q15" si="49">IF(M15="", 0, IF(M15&gt;K15, 3, IF(M15=K15, 1, 0)))</f>
        <v>0</v>
      </c>
      <c r="R15" s="77"/>
      <c r="S15" s="45" t="s">
        <v>55</v>
      </c>
      <c r="T15" s="107">
        <v>0</v>
      </c>
      <c r="U15" s="114" t="s">
        <v>12</v>
      </c>
      <c r="V15" s="107">
        <v>2</v>
      </c>
      <c r="W15" s="31" t="s">
        <v>56</v>
      </c>
      <c r="X15" s="8" t="s">
        <v>57</v>
      </c>
      <c r="Y15" s="77">
        <f t="shared" ref="Y15" si="50">IF(T15="", 0, IF(T15&gt;V15, 3, IF(T15=V15, 1, 0)))</f>
        <v>0</v>
      </c>
      <c r="Z15" s="77">
        <f t="shared" ref="Z15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Costa do Marfim</v>
      </c>
      <c r="AD15" s="114">
        <f t="shared" ref="AD15:AD17" si="53">VLOOKUP(AC15, $AC$86:$AF$89, 2, 0)</f>
        <v>7</v>
      </c>
      <c r="AE15" s="114">
        <f t="shared" ref="AE15:AE17" si="54">VLOOKUP(AC15, $AC$86:$AF$89, 3, 0)</f>
        <v>3</v>
      </c>
      <c r="AF15" s="114">
        <f t="shared" ref="AF15:AF17" si="55">VLOOKUP(AC15, $AC$86:$AF$89, 4, 0)</f>
        <v>6</v>
      </c>
      <c r="AG15" s="77"/>
      <c r="AH15" s="66">
        <v>2</v>
      </c>
      <c r="AI15" s="32" t="str">
        <f t="shared" ref="AI15:AI17" si="56">INDEX($AI$86:$AI$89, MATCH(LARGE($AM$86:$AM$89, AH15), $AM$86:$AM$89, 0))</f>
        <v>Japão</v>
      </c>
      <c r="AJ15" s="115">
        <f t="shared" ref="AJ15:AJ17" si="57">VLOOKUP(AI15, $AI$86:$AL$89, 2, 0)</f>
        <v>5</v>
      </c>
      <c r="AK15" s="115">
        <f t="shared" ref="AK15:AK17" si="58">VLOOKUP(AI15, $AI$86:$AL$89, 3, 0)</f>
        <v>2</v>
      </c>
      <c r="AL15" s="115">
        <f t="shared" ref="AL15:AL17" si="59">VLOOKUP(AI15, $AI$86:$AL$89, 4, 0)</f>
        <v>5</v>
      </c>
      <c r="AM15" s="107"/>
      <c r="AO15" s="77"/>
      <c r="AP15" s="107"/>
      <c r="AQ15" s="107"/>
      <c r="AR15" s="107"/>
      <c r="AS15" s="107"/>
      <c r="AU15" s="77"/>
      <c r="AV15" s="107"/>
      <c r="AW15" s="107"/>
      <c r="AX15" s="107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4" t="s">
        <v>58</v>
      </c>
      <c r="B16" s="134"/>
      <c r="C16" s="134"/>
      <c r="D16" s="134"/>
      <c r="E16" s="134"/>
      <c r="F16" s="10">
        <v>46187</v>
      </c>
      <c r="G16" s="3"/>
      <c r="H16" s="77"/>
      <c r="I16" s="77"/>
      <c r="J16" s="134" t="s">
        <v>59</v>
      </c>
      <c r="K16" s="134"/>
      <c r="L16" s="134"/>
      <c r="M16" s="134"/>
      <c r="N16" s="134"/>
      <c r="O16" s="10">
        <v>46193</v>
      </c>
      <c r="P16" s="3"/>
      <c r="Q16" s="77"/>
      <c r="R16" s="77"/>
      <c r="S16" s="130" t="s">
        <v>60</v>
      </c>
      <c r="T16" s="130"/>
      <c r="U16" s="130"/>
      <c r="V16" s="130"/>
      <c r="W16" s="130"/>
      <c r="X16" s="10">
        <v>46198</v>
      </c>
      <c r="Y16" s="77"/>
      <c r="Z16" s="77"/>
      <c r="AA16" s="77"/>
      <c r="AB16" s="45">
        <v>3</v>
      </c>
      <c r="AC16" s="31" t="str">
        <f t="shared" si="52"/>
        <v>Alemanha</v>
      </c>
      <c r="AD16" s="114">
        <f t="shared" si="53"/>
        <v>3</v>
      </c>
      <c r="AE16" s="114">
        <f t="shared" si="54"/>
        <v>4</v>
      </c>
      <c r="AF16" s="114">
        <f t="shared" si="55"/>
        <v>7</v>
      </c>
      <c r="AG16" s="77"/>
      <c r="AH16" s="66">
        <v>3</v>
      </c>
      <c r="AI16" s="32" t="str">
        <f t="shared" si="56"/>
        <v>Suécia</v>
      </c>
      <c r="AJ16" s="115">
        <f t="shared" si="57"/>
        <v>5</v>
      </c>
      <c r="AK16" s="115">
        <f t="shared" si="58"/>
        <v>2</v>
      </c>
      <c r="AL16" s="115">
        <f t="shared" si="59"/>
        <v>5</v>
      </c>
      <c r="AM16" s="107"/>
      <c r="AO16" s="77"/>
      <c r="AP16" s="107"/>
      <c r="AQ16" s="107"/>
      <c r="AR16" s="107"/>
      <c r="AS16" s="107"/>
      <c r="AU16" s="77"/>
      <c r="AV16" s="107"/>
      <c r="AW16" s="107"/>
      <c r="AX16" s="107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7">
        <v>0</v>
      </c>
      <c r="C17" s="112" t="s">
        <v>12</v>
      </c>
      <c r="D17" s="107">
        <v>1</v>
      </c>
      <c r="E17" s="30" t="s">
        <v>61</v>
      </c>
      <c r="F17" s="8" t="s">
        <v>62</v>
      </c>
      <c r="G17" s="5">
        <f t="shared" ref="G17" si="60">IF(B17="", 0, IF(B17&gt;D17, 3, IF(B17=D17, 1, 0)))</f>
        <v>0</v>
      </c>
      <c r="H17" s="77">
        <f t="shared" ref="H17" si="61">IF(D17="", 0, IF(D17&gt;B17, 3, IF(D17=B17, 1, 0)))</f>
        <v>3</v>
      </c>
      <c r="I17" s="77"/>
      <c r="J17" s="71" t="s">
        <v>61</v>
      </c>
      <c r="K17" s="107">
        <v>1</v>
      </c>
      <c r="L17" s="112" t="s">
        <v>12</v>
      </c>
      <c r="M17" s="107">
        <v>1</v>
      </c>
      <c r="N17" s="30" t="s">
        <v>38</v>
      </c>
      <c r="O17" s="8" t="s">
        <v>63</v>
      </c>
      <c r="P17" s="4">
        <f t="shared" ref="P17" si="62">IF(K17="", 0, IF(K17&gt;M17, 3, IF(K17=M17, 1, 0)))</f>
        <v>1</v>
      </c>
      <c r="Q17" s="77">
        <f t="shared" ref="Q17" si="63">IF(M17="", 0, IF(M17&gt;K17, 3, IF(M17=K17, 1, 0)))</f>
        <v>1</v>
      </c>
      <c r="R17" s="77"/>
      <c r="S17" s="45" t="s">
        <v>64</v>
      </c>
      <c r="T17" s="107">
        <v>1</v>
      </c>
      <c r="U17" s="114" t="s">
        <v>12</v>
      </c>
      <c r="V17" s="107">
        <v>0</v>
      </c>
      <c r="W17" s="31" t="s">
        <v>65</v>
      </c>
      <c r="X17" s="8" t="s">
        <v>57</v>
      </c>
      <c r="Y17" s="77">
        <f t="shared" ref="Y17" si="64">IF(T17="", 0, IF(T17&gt;V17, 3, IF(T17=V17, 1, 0)))</f>
        <v>3</v>
      </c>
      <c r="Z17" s="77">
        <f t="shared" ref="Z17" si="65">IF(V17="", 0, IF(V17&gt;T17, 3, IF(V17=T17, 1, 0)))</f>
        <v>0</v>
      </c>
      <c r="AA17" s="77"/>
      <c r="AB17" s="45">
        <v>4</v>
      </c>
      <c r="AC17" s="31" t="str">
        <f t="shared" si="52"/>
        <v>Curaçao</v>
      </c>
      <c r="AD17" s="114">
        <f t="shared" si="53"/>
        <v>0</v>
      </c>
      <c r="AE17" s="114">
        <f t="shared" si="54"/>
        <v>-11</v>
      </c>
      <c r="AF17" s="114">
        <f t="shared" si="55"/>
        <v>0</v>
      </c>
      <c r="AG17" s="77"/>
      <c r="AH17" s="66">
        <v>4</v>
      </c>
      <c r="AI17" s="32" t="str">
        <f t="shared" si="56"/>
        <v>Tunísia</v>
      </c>
      <c r="AJ17" s="115">
        <f t="shared" si="57"/>
        <v>0</v>
      </c>
      <c r="AK17" s="115">
        <f t="shared" si="58"/>
        <v>-6</v>
      </c>
      <c r="AL17" s="115">
        <f t="shared" si="59"/>
        <v>1</v>
      </c>
      <c r="AM17" s="107"/>
      <c r="AO17" s="77"/>
      <c r="AP17" s="107"/>
      <c r="AQ17" s="107"/>
      <c r="AR17" s="107"/>
      <c r="AS17" s="107"/>
      <c r="AU17" s="77"/>
      <c r="AV17" s="107"/>
      <c r="AW17" s="107"/>
      <c r="AX17" s="107"/>
    </row>
    <row r="18" spans="1:50">
      <c r="A18" s="130" t="s">
        <v>66</v>
      </c>
      <c r="B18" s="130"/>
      <c r="C18" s="130"/>
      <c r="D18" s="130"/>
      <c r="E18" s="130"/>
      <c r="F18" s="10">
        <v>46187</v>
      </c>
      <c r="G18" s="3"/>
      <c r="H18" s="77"/>
      <c r="I18" s="77"/>
      <c r="J18" s="131" t="s">
        <v>67</v>
      </c>
      <c r="K18" s="131"/>
      <c r="L18" s="131"/>
      <c r="M18" s="131"/>
      <c r="N18" s="131"/>
      <c r="O18" s="10">
        <v>46193</v>
      </c>
      <c r="P18" s="3"/>
      <c r="Q18" s="77"/>
      <c r="R18" s="77"/>
      <c r="S18" s="131" t="s">
        <v>68</v>
      </c>
      <c r="T18" s="131"/>
      <c r="U18" s="131"/>
      <c r="V18" s="131"/>
      <c r="W18" s="131"/>
      <c r="X18" s="10">
        <v>46198</v>
      </c>
      <c r="Y18" s="77"/>
      <c r="Z18" s="77"/>
      <c r="AA18" s="77"/>
      <c r="AC18" s="77"/>
      <c r="AD18" s="107"/>
      <c r="AE18" s="107"/>
      <c r="AF18" s="107"/>
      <c r="AG18" s="77"/>
      <c r="AI18" s="77"/>
      <c r="AJ18" s="107"/>
      <c r="AK18" s="107"/>
      <c r="AL18" s="107"/>
      <c r="AM18" s="107"/>
      <c r="AO18" s="77"/>
      <c r="AP18" s="107"/>
      <c r="AQ18" s="107"/>
      <c r="AR18" s="107"/>
      <c r="AS18" s="107"/>
      <c r="AU18" s="77"/>
      <c r="AV18" s="107"/>
      <c r="AW18" s="107"/>
      <c r="AX18" s="107"/>
    </row>
    <row r="19" spans="1:50">
      <c r="A19" s="45" t="s">
        <v>65</v>
      </c>
      <c r="B19" s="107">
        <v>6</v>
      </c>
      <c r="C19" s="114" t="s">
        <v>12</v>
      </c>
      <c r="D19" s="107">
        <v>0</v>
      </c>
      <c r="E19" s="31" t="s">
        <v>55</v>
      </c>
      <c r="F19" s="8" t="s">
        <v>69</v>
      </c>
      <c r="G19" s="5">
        <f t="shared" ref="G19" si="66">IF(B19="", 0, IF(B19&gt;D19, 3, IF(B19=D19, 1, 0)))</f>
        <v>3</v>
      </c>
      <c r="H19" s="77">
        <f t="shared" ref="H19" si="67">IF(D19="", 0, IF(D19&gt;B19, 3, IF(D19=B19, 1, 0)))</f>
        <v>0</v>
      </c>
      <c r="I19" s="77"/>
      <c r="J19" s="66" t="s">
        <v>70</v>
      </c>
      <c r="K19" s="107">
        <v>1</v>
      </c>
      <c r="L19" s="115" t="s">
        <v>12</v>
      </c>
      <c r="M19" s="107">
        <v>1</v>
      </c>
      <c r="N19" s="32" t="s">
        <v>71</v>
      </c>
      <c r="O19" s="8" t="s">
        <v>69</v>
      </c>
      <c r="P19" s="4">
        <f t="shared" ref="P19" si="68">IF(K19="", 0, IF(K19&gt;M19, 3, IF(K19=M19, 1, 0)))</f>
        <v>1</v>
      </c>
      <c r="Q19" s="77">
        <f t="shared" ref="Q19" si="69">IF(M19="", 0, IF(M19&gt;K19, 3, IF(M19=K19, 1, 0)))</f>
        <v>1</v>
      </c>
      <c r="R19" s="77"/>
      <c r="S19" s="66" t="s">
        <v>72</v>
      </c>
      <c r="T19" s="107">
        <v>1</v>
      </c>
      <c r="U19" s="115" t="s">
        <v>12</v>
      </c>
      <c r="V19" s="107">
        <v>3</v>
      </c>
      <c r="W19" s="32" t="s">
        <v>70</v>
      </c>
      <c r="X19" s="8" t="s">
        <v>73</v>
      </c>
      <c r="Y19" s="77">
        <f t="shared" ref="Y19" si="70">IF(T19="", 0, IF(T19&gt;V19, 3, IF(T19=V19, 1, 0)))</f>
        <v>0</v>
      </c>
      <c r="Z19" s="77">
        <f t="shared" ref="Z1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7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7"/>
      <c r="AO19" s="77"/>
      <c r="AP19" s="107"/>
      <c r="AQ19" s="107"/>
      <c r="AR19" s="107"/>
      <c r="AS19" s="107"/>
      <c r="AU19" s="77"/>
      <c r="AV19" s="107"/>
      <c r="AW19" s="107"/>
      <c r="AX19" s="107"/>
    </row>
    <row r="20" spans="1:50">
      <c r="A20" s="131" t="s">
        <v>76</v>
      </c>
      <c r="B20" s="131"/>
      <c r="C20" s="131"/>
      <c r="D20" s="131"/>
      <c r="E20" s="131"/>
      <c r="F20" s="10">
        <v>46187</v>
      </c>
      <c r="G20" s="3"/>
      <c r="H20" s="77"/>
      <c r="I20" s="77"/>
      <c r="J20" s="130" t="s">
        <v>77</v>
      </c>
      <c r="K20" s="130"/>
      <c r="L20" s="130"/>
      <c r="M20" s="130"/>
      <c r="N20" s="130"/>
      <c r="O20" s="10">
        <v>46193</v>
      </c>
      <c r="P20" s="3"/>
      <c r="Q20" s="77"/>
      <c r="R20" s="77"/>
      <c r="S20" s="131" t="s">
        <v>78</v>
      </c>
      <c r="T20" s="131"/>
      <c r="U20" s="131"/>
      <c r="V20" s="131"/>
      <c r="W20" s="131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8">
        <f>VLOOKUP(AC20, $AO$86:$AR$89, 2, 0)</f>
        <v>9</v>
      </c>
      <c r="AE20" s="118">
        <f>VLOOKUP(AC20, $AO$86:$AR$89, 3, 0)</f>
        <v>5</v>
      </c>
      <c r="AF20" s="118">
        <f>VLOOKUP(AC20, $AO$86:$AR$89, 4, 0)</f>
        <v>5</v>
      </c>
      <c r="AG20" s="107"/>
      <c r="AH20" s="102">
        <v>1</v>
      </c>
      <c r="AI20" s="101" t="str">
        <f>INDEX($AU$86:$AU$89, MATCH(LARGE($AY$86:$AY$89, AH20), $AY$86:$AY$89, 0))</f>
        <v>Espanha</v>
      </c>
      <c r="AJ20" s="119">
        <f>VLOOKUP(AI20, $AU$86:$AX$89, 2, 0)</f>
        <v>7</v>
      </c>
      <c r="AK20" s="119">
        <f>VLOOKUP(AI20, $AU$86:$AX$89, 3, 0)</f>
        <v>6</v>
      </c>
      <c r="AL20" s="119">
        <f>VLOOKUP(AI20, $AU$86:$AX$89, 4, 0)</f>
        <v>7</v>
      </c>
      <c r="AM20" s="107"/>
      <c r="AO20" s="77"/>
      <c r="AP20" s="107"/>
      <c r="AQ20" s="107"/>
      <c r="AR20" s="107"/>
      <c r="AS20" s="107"/>
      <c r="AU20" s="77"/>
      <c r="AV20" s="107"/>
      <c r="AW20" s="107"/>
      <c r="AX20" s="107"/>
    </row>
    <row r="21" spans="1:50">
      <c r="A21" s="66" t="s">
        <v>70</v>
      </c>
      <c r="B21" s="107">
        <v>1</v>
      </c>
      <c r="C21" s="115" t="s">
        <v>12</v>
      </c>
      <c r="D21" s="107">
        <v>1</v>
      </c>
      <c r="E21" s="32" t="s">
        <v>79</v>
      </c>
      <c r="F21" s="8" t="s">
        <v>57</v>
      </c>
      <c r="G21" s="5">
        <f t="shared" ref="G21" si="72">IF(B21="", 0, IF(B21&gt;D21, 3, IF(B21=D21, 1, 0)))</f>
        <v>1</v>
      </c>
      <c r="H21" s="77">
        <f t="shared" ref="H21" si="73">IF(D21="", 0, IF(D21&gt;B21, 3, IF(D21=B21, 1, 0)))</f>
        <v>1</v>
      </c>
      <c r="I21" s="77"/>
      <c r="J21" s="45" t="s">
        <v>65</v>
      </c>
      <c r="K21" s="107">
        <v>1</v>
      </c>
      <c r="L21" s="114" t="s">
        <v>12</v>
      </c>
      <c r="M21" s="107">
        <v>2</v>
      </c>
      <c r="N21" s="31" t="s">
        <v>56</v>
      </c>
      <c r="O21" s="8" t="s">
        <v>57</v>
      </c>
      <c r="P21" s="4">
        <f t="shared" ref="P21" si="74">IF(K21="", 0, IF(K21&gt;M21, 3, IF(K21=M21, 1, 0)))</f>
        <v>0</v>
      </c>
      <c r="Q21" s="77">
        <f t="shared" ref="Q21" si="75">IF(M21="", 0, IF(M21&gt;K21, 3, IF(M21=K21, 1, 0)))</f>
        <v>3</v>
      </c>
      <c r="R21" s="77"/>
      <c r="S21" s="66" t="s">
        <v>79</v>
      </c>
      <c r="T21" s="107">
        <v>2</v>
      </c>
      <c r="U21" s="115" t="s">
        <v>12</v>
      </c>
      <c r="V21" s="107">
        <v>2</v>
      </c>
      <c r="W21" s="32" t="s">
        <v>71</v>
      </c>
      <c r="X21" s="8" t="s">
        <v>73</v>
      </c>
      <c r="Y21" s="77">
        <f t="shared" ref="Y21" si="76">IF(T21="", 0, IF(T21&gt;V21, 3, IF(T21=V21, 1, 0)))</f>
        <v>1</v>
      </c>
      <c r="Z21" s="77">
        <f t="shared" ref="Z21" si="77">IF(V21="", 0, IF(V21&gt;T21, 3, IF(V21=T21, 1, 0)))</f>
        <v>1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8">
        <f t="shared" ref="AD21:AD23" si="79">VLOOKUP(AC21, $AO$86:$AR$89, 2, 0)</f>
        <v>4</v>
      </c>
      <c r="AE21" s="118">
        <f t="shared" ref="AE21:AE23" si="80">VLOOKUP(AC21, $AO$86:$AR$89, 3, 0)</f>
        <v>0</v>
      </c>
      <c r="AF21" s="118">
        <f t="shared" ref="AF21:AF23" si="81">VLOOKUP(AC21, $AO$86:$AR$89, 4, 0)</f>
        <v>2</v>
      </c>
      <c r="AG21" s="107"/>
      <c r="AH21" s="102">
        <v>2</v>
      </c>
      <c r="AI21" s="101" t="str">
        <f t="shared" ref="AI21:AI23" si="82">INDEX($AU$86:$AU$89, MATCH(LARGE($AY$86:$AY$89, AH21), $AY$86:$AY$89, 0))</f>
        <v>Uruguai</v>
      </c>
      <c r="AJ21" s="119">
        <f t="shared" ref="AJ21:AJ23" si="83">VLOOKUP(AI21, $AU$86:$AX$89, 2, 0)</f>
        <v>7</v>
      </c>
      <c r="AK21" s="119">
        <f t="shared" ref="AK21:AK23" si="84">VLOOKUP(AI21, $AU$86:$AX$89, 3, 0)</f>
        <v>3</v>
      </c>
      <c r="AL21" s="119">
        <f t="shared" ref="AL21:AL23" si="85">VLOOKUP(AI21, $AU$86:$AX$89, 4, 0)</f>
        <v>4</v>
      </c>
      <c r="AM21" s="107"/>
      <c r="AO21" s="77"/>
      <c r="AP21" s="107"/>
      <c r="AQ21" s="107"/>
      <c r="AR21" s="107"/>
      <c r="AS21" s="107"/>
      <c r="AU21" s="77"/>
      <c r="AV21" s="107"/>
      <c r="AW21" s="107"/>
      <c r="AX21" s="107"/>
    </row>
    <row r="22" spans="1:50">
      <c r="A22" s="130" t="s">
        <v>80</v>
      </c>
      <c r="B22" s="130"/>
      <c r="C22" s="130"/>
      <c r="D22" s="130"/>
      <c r="E22" s="130"/>
      <c r="F22" s="10">
        <v>46187</v>
      </c>
      <c r="G22" s="3"/>
      <c r="H22" s="77"/>
      <c r="I22" s="77"/>
      <c r="J22" s="130" t="s">
        <v>81</v>
      </c>
      <c r="K22" s="130"/>
      <c r="L22" s="130"/>
      <c r="M22" s="130"/>
      <c r="N22" s="130"/>
      <c r="O22" s="10">
        <v>46193</v>
      </c>
      <c r="P22" s="3"/>
      <c r="Q22" s="77"/>
      <c r="R22" s="77"/>
      <c r="S22" s="134" t="s">
        <v>82</v>
      </c>
      <c r="T22" s="134"/>
      <c r="U22" s="134"/>
      <c r="V22" s="134"/>
      <c r="W22" s="134"/>
      <c r="X22" s="10">
        <v>46198</v>
      </c>
      <c r="Y22" s="77"/>
      <c r="Z22" s="77"/>
      <c r="AA22" s="77"/>
      <c r="AB22" s="48">
        <v>3</v>
      </c>
      <c r="AC22" s="38" t="str">
        <f t="shared" si="78"/>
        <v>Nova Zelândia</v>
      </c>
      <c r="AD22" s="118">
        <f t="shared" si="79"/>
        <v>2</v>
      </c>
      <c r="AE22" s="118">
        <f t="shared" si="80"/>
        <v>-2</v>
      </c>
      <c r="AF22" s="118">
        <f t="shared" si="81"/>
        <v>2</v>
      </c>
      <c r="AG22" s="107"/>
      <c r="AH22" s="102">
        <v>3</v>
      </c>
      <c r="AI22" s="101" t="str">
        <f t="shared" si="82"/>
        <v>Arábia Saudita</v>
      </c>
      <c r="AJ22" s="119">
        <f t="shared" si="83"/>
        <v>3</v>
      </c>
      <c r="AK22" s="119">
        <f t="shared" si="84"/>
        <v>-2</v>
      </c>
      <c r="AL22" s="119">
        <f t="shared" si="85"/>
        <v>1</v>
      </c>
      <c r="AM22" s="107"/>
      <c r="AO22" s="77"/>
      <c r="AP22" s="107"/>
      <c r="AQ22" s="107"/>
      <c r="AR22" s="107"/>
      <c r="AS22" s="107"/>
      <c r="AU22" s="77"/>
      <c r="AV22" s="107"/>
      <c r="AW22" s="107"/>
      <c r="AX22" s="107"/>
    </row>
    <row r="23" spans="1:50">
      <c r="A23" s="45" t="s">
        <v>56</v>
      </c>
      <c r="B23" s="107">
        <v>2</v>
      </c>
      <c r="C23" s="114" t="s">
        <v>12</v>
      </c>
      <c r="D23" s="107">
        <v>2</v>
      </c>
      <c r="E23" s="31" t="s">
        <v>64</v>
      </c>
      <c r="F23" s="8" t="s">
        <v>73</v>
      </c>
      <c r="G23" s="5">
        <f t="shared" ref="G23" si="86">IF(B23="", 0, IF(B23&gt;D23, 3, IF(B23=D23, 1, 0)))</f>
        <v>1</v>
      </c>
      <c r="H23" s="77">
        <f t="shared" ref="H23" si="87">IF(D23="", 0, IF(D23&gt;B23, 3, IF(D23=B23, 1, 0)))</f>
        <v>1</v>
      </c>
      <c r="I23" s="77"/>
      <c r="J23" s="45" t="s">
        <v>64</v>
      </c>
      <c r="K23" s="107">
        <v>3</v>
      </c>
      <c r="L23" s="114" t="s">
        <v>12</v>
      </c>
      <c r="M23" s="107">
        <v>0</v>
      </c>
      <c r="N23" s="31" t="s">
        <v>55</v>
      </c>
      <c r="O23" s="8" t="s">
        <v>83</v>
      </c>
      <c r="P23" s="4">
        <f t="shared" ref="P23" si="88">IF(K23="", 0, IF(K23&gt;M23, 3, IF(K23=M23, 1, 0)))</f>
        <v>3</v>
      </c>
      <c r="Q23" s="77">
        <f t="shared" ref="Q23" si="89">IF(M23="", 0, IF(M23&gt;K23, 3, IF(M23=K23, 1, 0)))</f>
        <v>0</v>
      </c>
      <c r="R23" s="77"/>
      <c r="S23" s="71" t="s">
        <v>61</v>
      </c>
      <c r="T23" s="107">
        <v>0</v>
      </c>
      <c r="U23" s="112" t="s">
        <v>12</v>
      </c>
      <c r="V23" s="107">
        <v>0</v>
      </c>
      <c r="W23" s="30" t="s">
        <v>37</v>
      </c>
      <c r="X23" s="8" t="s">
        <v>23</v>
      </c>
      <c r="Y23" s="77">
        <f t="shared" ref="Y23" si="90">IF(T23="", 0, IF(T23&gt;V23, 3, IF(T23=V23, 1, 0)))</f>
        <v>1</v>
      </c>
      <c r="Z23" s="77">
        <f t="shared" ref="Z23" si="91">IF(V23="", 0, IF(V23&gt;T23, 3, IF(V23=T23, 1, 0)))</f>
        <v>1</v>
      </c>
      <c r="AA23" s="77"/>
      <c r="AB23" s="48">
        <v>4</v>
      </c>
      <c r="AC23" s="38" t="str">
        <f t="shared" si="78"/>
        <v>Irã</v>
      </c>
      <c r="AD23" s="118">
        <f t="shared" si="79"/>
        <v>1</v>
      </c>
      <c r="AE23" s="118">
        <f t="shared" si="80"/>
        <v>-3</v>
      </c>
      <c r="AF23" s="118">
        <f t="shared" si="81"/>
        <v>1</v>
      </c>
      <c r="AG23" s="107"/>
      <c r="AH23" s="102">
        <v>4</v>
      </c>
      <c r="AI23" s="101" t="str">
        <f t="shared" si="82"/>
        <v>Cabo Verde</v>
      </c>
      <c r="AJ23" s="119">
        <f t="shared" si="83"/>
        <v>0</v>
      </c>
      <c r="AK23" s="119">
        <f t="shared" si="84"/>
        <v>-7</v>
      </c>
      <c r="AL23" s="119">
        <f t="shared" si="85"/>
        <v>0</v>
      </c>
      <c r="AM23" s="107"/>
      <c r="AO23" s="77"/>
      <c r="AP23" s="107"/>
      <c r="AQ23" s="107"/>
      <c r="AR23" s="107"/>
      <c r="AS23" s="107"/>
      <c r="AU23" s="77"/>
      <c r="AV23" s="107"/>
      <c r="AW23" s="107"/>
      <c r="AX23" s="107"/>
    </row>
    <row r="24" spans="1:50">
      <c r="A24" s="131" t="s">
        <v>84</v>
      </c>
      <c r="B24" s="131"/>
      <c r="C24" s="131"/>
      <c r="D24" s="131"/>
      <c r="E24" s="131"/>
      <c r="F24" s="10">
        <v>46187</v>
      </c>
      <c r="G24" s="3"/>
      <c r="H24" s="77"/>
      <c r="I24" s="77"/>
      <c r="J24" s="131" t="s">
        <v>85</v>
      </c>
      <c r="K24" s="131"/>
      <c r="L24" s="131"/>
      <c r="M24" s="131"/>
      <c r="N24" s="131"/>
      <c r="O24" s="10">
        <v>46194</v>
      </c>
      <c r="P24" s="3"/>
      <c r="Q24" s="77"/>
      <c r="R24" s="77"/>
      <c r="S24" s="134" t="s">
        <v>86</v>
      </c>
      <c r="T24" s="134"/>
      <c r="U24" s="134"/>
      <c r="V24" s="134"/>
      <c r="W24" s="134"/>
      <c r="X24" s="10">
        <v>46198</v>
      </c>
      <c r="Y24" s="77"/>
      <c r="Z24" s="77"/>
      <c r="AA24" s="77"/>
      <c r="AC24" s="77"/>
      <c r="AD24" s="107"/>
      <c r="AE24" s="107"/>
      <c r="AF24" s="107"/>
      <c r="AG24" s="77"/>
      <c r="AI24" s="77"/>
      <c r="AJ24" s="107"/>
      <c r="AK24" s="107"/>
      <c r="AL24" s="107"/>
      <c r="AM24" s="107"/>
      <c r="AO24" s="77"/>
      <c r="AP24" s="107"/>
      <c r="AQ24" s="107"/>
      <c r="AR24" s="107"/>
      <c r="AS24" s="107"/>
      <c r="AU24" s="77"/>
      <c r="AV24" s="107"/>
      <c r="AW24" s="107"/>
      <c r="AX24" s="107"/>
    </row>
    <row r="25" spans="1:50">
      <c r="A25" s="66" t="s">
        <v>71</v>
      </c>
      <c r="B25" s="107">
        <v>2</v>
      </c>
      <c r="C25" s="115" t="s">
        <v>12</v>
      </c>
      <c r="D25" s="107">
        <v>0</v>
      </c>
      <c r="E25" s="32" t="s">
        <v>72</v>
      </c>
      <c r="F25" s="8" t="s">
        <v>23</v>
      </c>
      <c r="G25" s="5">
        <f t="shared" ref="G25" si="92">IF(B25="", 0, IF(B25&gt;D25, 3, IF(B25=D25, 1, 0)))</f>
        <v>3</v>
      </c>
      <c r="H25" s="77">
        <f t="shared" ref="H25" si="93">IF(D25="", 0, IF(D25&gt;B25, 3, IF(D25=B25, 1, 0)))</f>
        <v>0</v>
      </c>
      <c r="I25" s="77"/>
      <c r="J25" s="66" t="s">
        <v>72</v>
      </c>
      <c r="K25" s="107">
        <v>0</v>
      </c>
      <c r="L25" s="115" t="s">
        <v>12</v>
      </c>
      <c r="M25" s="107">
        <v>2</v>
      </c>
      <c r="N25" s="32" t="s">
        <v>79</v>
      </c>
      <c r="O25" s="8" t="s">
        <v>62</v>
      </c>
      <c r="P25" s="4">
        <f t="shared" ref="P25" si="94">IF(K25="", 0, IF(K25&gt;M25, 3, IF(K25=M25, 1, 0)))</f>
        <v>0</v>
      </c>
      <c r="Q25" s="77">
        <f t="shared" ref="Q25" si="95">IF(M25="", 0, IF(M25&gt;K25, 3, IF(M25=K25, 1, 0)))</f>
        <v>3</v>
      </c>
      <c r="R25" s="77"/>
      <c r="S25" s="71" t="s">
        <v>38</v>
      </c>
      <c r="T25" s="107">
        <v>1</v>
      </c>
      <c r="U25" s="112" t="s">
        <v>12</v>
      </c>
      <c r="V25" s="107">
        <v>0</v>
      </c>
      <c r="W25" s="30" t="s">
        <v>45</v>
      </c>
      <c r="X25" s="8" t="s">
        <v>23</v>
      </c>
      <c r="Y25" s="77">
        <f t="shared" ref="Y25" si="96">IF(T25="", 0, IF(T25&gt;V25, 3, IF(T25=V25, 1, 0)))</f>
        <v>3</v>
      </c>
      <c r="Z25" s="77">
        <f t="shared" ref="Z25" si="97">IF(V25="", 0, IF(V25&gt;T25, 3, IF(V25=T25, 1, 0)))</f>
        <v>0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7"/>
      <c r="AO25" s="77"/>
      <c r="AP25" s="107"/>
      <c r="AQ25" s="107"/>
      <c r="AR25" s="107"/>
      <c r="AS25" s="107"/>
      <c r="AU25" s="77"/>
      <c r="AV25" s="107"/>
      <c r="AW25" s="107"/>
      <c r="AX25" s="107"/>
    </row>
    <row r="26" spans="1:50">
      <c r="A26" s="120" t="s">
        <v>89</v>
      </c>
      <c r="B26" s="120"/>
      <c r="C26" s="120"/>
      <c r="D26" s="120"/>
      <c r="E26" s="120"/>
      <c r="F26" s="10">
        <v>46188</v>
      </c>
      <c r="G26" s="3"/>
      <c r="H26" s="77"/>
      <c r="I26" s="77"/>
      <c r="J26" s="120" t="s">
        <v>90</v>
      </c>
      <c r="K26" s="120"/>
      <c r="L26" s="120"/>
      <c r="M26" s="120"/>
      <c r="N26" s="120"/>
      <c r="O26" s="10">
        <v>46194</v>
      </c>
      <c r="P26" s="3"/>
      <c r="Q26" s="77"/>
      <c r="R26" s="77"/>
      <c r="S26" s="124" t="s">
        <v>91</v>
      </c>
      <c r="T26" s="124"/>
      <c r="U26" s="124"/>
      <c r="V26" s="124"/>
      <c r="W26" s="124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5</v>
      </c>
      <c r="AF26" s="104">
        <f>VLOOKUP(AC26, $AC$92:$AF$95, 4, 0)</f>
        <v>7</v>
      </c>
      <c r="AG26" s="77"/>
      <c r="AH26" s="60">
        <v>1</v>
      </c>
      <c r="AI26" s="35" t="str">
        <f>INDEX($AI$92:$AI$95, MATCH(LARGE($AM$92:$AM$95, AH26), $AM$92:$AM$95, 0))</f>
        <v>Argentina</v>
      </c>
      <c r="AJ26" s="116">
        <f>VLOOKUP(AI26, $AI$92:$AL$95, 2, 0)</f>
        <v>9</v>
      </c>
      <c r="AK26" s="116">
        <f>VLOOKUP(AI26, $AI$92:$AL$95, 3, 0)</f>
        <v>10</v>
      </c>
      <c r="AL26" s="116">
        <f>VLOOKUP(AI26, $AI$92:$AL$95, 4, 0)</f>
        <v>10</v>
      </c>
      <c r="AM26" s="107"/>
      <c r="AO26" s="77"/>
      <c r="AP26" s="107"/>
      <c r="AQ26" s="107"/>
      <c r="AR26" s="107"/>
      <c r="AS26" s="107"/>
      <c r="AU26" s="77"/>
      <c r="AV26" s="107"/>
      <c r="AW26" s="107"/>
      <c r="AX26" s="107"/>
    </row>
    <row r="27" spans="1:50">
      <c r="A27" s="102" t="s">
        <v>92</v>
      </c>
      <c r="B27" s="107">
        <v>4</v>
      </c>
      <c r="C27" s="119" t="s">
        <v>12</v>
      </c>
      <c r="D27" s="107">
        <v>0</v>
      </c>
      <c r="E27" s="101" t="s">
        <v>93</v>
      </c>
      <c r="F27" s="8" t="s">
        <v>16</v>
      </c>
      <c r="G27" s="5">
        <f t="shared" ref="G27" si="98">IF(B27="", 0, IF(B27&gt;D27, 3, IF(B27=D27, 1, 0)))</f>
        <v>3</v>
      </c>
      <c r="H27" s="77">
        <f t="shared" ref="H27" si="99">IF(D27="", 0, IF(D27&gt;B27, 3, IF(D27=B27, 1, 0)))</f>
        <v>0</v>
      </c>
      <c r="I27" s="77"/>
      <c r="J27" s="102" t="s">
        <v>92</v>
      </c>
      <c r="K27" s="107">
        <v>2</v>
      </c>
      <c r="L27" s="119" t="s">
        <v>12</v>
      </c>
      <c r="M27" s="107">
        <v>0</v>
      </c>
      <c r="N27" s="101" t="s">
        <v>94</v>
      </c>
      <c r="O27" s="8" t="s">
        <v>16</v>
      </c>
      <c r="P27" s="4">
        <f t="shared" ref="P27" si="100">IF(K27="", 0, IF(K27&gt;M27, 3, IF(K27=M27, 1, 0)))</f>
        <v>3</v>
      </c>
      <c r="Q27" s="77">
        <f t="shared" ref="Q27" si="101">IF(M27="", 0, IF(M27&gt;K27, 3, IF(M27=K27, 1, 0)))</f>
        <v>0</v>
      </c>
      <c r="R27" s="77"/>
      <c r="S27" s="51" t="s">
        <v>95</v>
      </c>
      <c r="T27" s="107">
        <v>1</v>
      </c>
      <c r="U27" s="104" t="s">
        <v>12</v>
      </c>
      <c r="V27" s="107">
        <v>2</v>
      </c>
      <c r="W27" s="36" t="s">
        <v>96</v>
      </c>
      <c r="X27" s="8" t="s">
        <v>14</v>
      </c>
      <c r="Y27" s="77">
        <f t="shared" ref="Y27" si="102">IF(T27="", 0, IF(T27&gt;V27, 3, IF(T27=V27, 1, 0)))</f>
        <v>0</v>
      </c>
      <c r="Z27" s="77">
        <f t="shared" ref="Z27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Noruega</v>
      </c>
      <c r="AD27" s="104">
        <f t="shared" ref="AD27:AD29" si="105">VLOOKUP(AC27, $AC$92:$AF$95, 2, 0)</f>
        <v>6</v>
      </c>
      <c r="AE27" s="104">
        <f t="shared" ref="AE27:AE29" si="106">VLOOKUP(AC27, $AC$92:$AF$95, 3, 0)</f>
        <v>2</v>
      </c>
      <c r="AF27" s="104">
        <f t="shared" ref="AF27:AF29" si="107">VLOOKUP(AC27, $AC$92:$AF$95, 4, 0)</f>
        <v>7</v>
      </c>
      <c r="AG27" s="77"/>
      <c r="AH27" s="60">
        <v>2</v>
      </c>
      <c r="AI27" s="35" t="str">
        <f t="shared" ref="AI27:AI29" si="108">INDEX($AI$92:$AI$95, MATCH(LARGE($AM$92:$AM$95, AH27), $AM$92:$AM$95, 0))</f>
        <v>Argélia</v>
      </c>
      <c r="AJ27" s="116">
        <f t="shared" ref="AJ27:AJ29" si="109">VLOOKUP(AI27, $AI$92:$AL$95, 2, 0)</f>
        <v>6</v>
      </c>
      <c r="AK27" s="116">
        <f t="shared" ref="AK27:AK29" si="110">VLOOKUP(AI27, $AI$92:$AL$95, 3, 0)</f>
        <v>1</v>
      </c>
      <c r="AL27" s="116">
        <f t="shared" ref="AL27:AL29" si="111">VLOOKUP(AI27, $AI$92:$AL$95, 4, 0)</f>
        <v>3</v>
      </c>
      <c r="AM27" s="107"/>
      <c r="AO27" s="77"/>
      <c r="AP27" s="107"/>
      <c r="AQ27" s="107"/>
      <c r="AR27" s="107"/>
      <c r="AS27" s="107"/>
      <c r="AU27" s="77"/>
      <c r="AV27" s="107"/>
      <c r="AW27" s="107"/>
      <c r="AX27" s="107"/>
    </row>
    <row r="28" spans="1:50">
      <c r="A28" s="127" t="s">
        <v>97</v>
      </c>
      <c r="B28" s="127"/>
      <c r="C28" s="127"/>
      <c r="D28" s="127"/>
      <c r="E28" s="127"/>
      <c r="F28" s="10">
        <v>46188</v>
      </c>
      <c r="G28" s="3"/>
      <c r="H28" s="77"/>
      <c r="I28" s="77"/>
      <c r="J28" s="127" t="s">
        <v>98</v>
      </c>
      <c r="K28" s="127"/>
      <c r="L28" s="127"/>
      <c r="M28" s="127"/>
      <c r="N28" s="127"/>
      <c r="O28" s="10">
        <v>46194</v>
      </c>
      <c r="P28" s="3"/>
      <c r="Q28" s="77"/>
      <c r="R28" s="77"/>
      <c r="S28" s="124" t="s">
        <v>99</v>
      </c>
      <c r="T28" s="124"/>
      <c r="U28" s="124"/>
      <c r="V28" s="124"/>
      <c r="W28" s="124"/>
      <c r="X28" s="10">
        <v>46199</v>
      </c>
      <c r="Y28" s="77"/>
      <c r="Z28" s="77"/>
      <c r="AA28" s="77"/>
      <c r="AB28" s="51">
        <v>3</v>
      </c>
      <c r="AC28" s="36" t="str">
        <f t="shared" si="104"/>
        <v>Senegal</v>
      </c>
      <c r="AD28" s="104">
        <f t="shared" si="105"/>
        <v>3</v>
      </c>
      <c r="AE28" s="104">
        <f t="shared" si="106"/>
        <v>0</v>
      </c>
      <c r="AF28" s="104">
        <f t="shared" si="107"/>
        <v>5</v>
      </c>
      <c r="AG28" s="77"/>
      <c r="AH28" s="60">
        <v>3</v>
      </c>
      <c r="AI28" s="35" t="str">
        <f t="shared" si="108"/>
        <v>Jordânia</v>
      </c>
      <c r="AJ28" s="116">
        <f t="shared" si="109"/>
        <v>1</v>
      </c>
      <c r="AK28" s="116">
        <f t="shared" si="110"/>
        <v>-5</v>
      </c>
      <c r="AL28" s="116">
        <f t="shared" si="111"/>
        <v>0</v>
      </c>
      <c r="AM28" s="107"/>
      <c r="AO28" s="77"/>
      <c r="AP28" s="107"/>
      <c r="AQ28" s="107"/>
      <c r="AR28" s="107"/>
      <c r="AS28" s="107"/>
      <c r="AU28" s="77"/>
      <c r="AV28" s="107"/>
      <c r="AW28" s="107"/>
      <c r="AX28" s="107"/>
    </row>
    <row r="29" spans="1:50">
      <c r="A29" s="48" t="s">
        <v>100</v>
      </c>
      <c r="B29" s="107">
        <v>1</v>
      </c>
      <c r="C29" s="118" t="s">
        <v>12</v>
      </c>
      <c r="D29" s="107">
        <v>0</v>
      </c>
      <c r="E29" s="38" t="s">
        <v>101</v>
      </c>
      <c r="F29" s="8" t="s">
        <v>14</v>
      </c>
      <c r="G29" s="5">
        <f t="shared" ref="G29" si="112">IF(B29="", 0, IF(B29&gt;D29, 3, IF(B29=D29, 1, 0)))</f>
        <v>3</v>
      </c>
      <c r="H29" s="77">
        <f t="shared" ref="H29" si="113">IF(D29="", 0, IF(D29&gt;B29, 3, IF(D29=B29, 1, 0)))</f>
        <v>0</v>
      </c>
      <c r="I29" s="77"/>
      <c r="J29" s="48" t="s">
        <v>100</v>
      </c>
      <c r="K29" s="107">
        <v>2</v>
      </c>
      <c r="L29" s="118" t="s">
        <v>12</v>
      </c>
      <c r="M29" s="107">
        <v>0</v>
      </c>
      <c r="N29" s="38" t="s">
        <v>102</v>
      </c>
      <c r="O29" s="8" t="s">
        <v>14</v>
      </c>
      <c r="P29" s="4">
        <f t="shared" ref="P29" si="114">IF(K29="", 0, IF(K29&gt;M29, 3, IF(K29=M29, 1, 0)))</f>
        <v>3</v>
      </c>
      <c r="Q29" s="77">
        <f t="shared" ref="Q29" si="115">IF(M29="", 0, IF(M29&gt;K29, 3, IF(M29=K29, 1, 0)))</f>
        <v>0</v>
      </c>
      <c r="R29" s="77"/>
      <c r="S29" s="51" t="s">
        <v>103</v>
      </c>
      <c r="T29" s="107">
        <v>2</v>
      </c>
      <c r="U29" s="104" t="s">
        <v>12</v>
      </c>
      <c r="V29" s="107">
        <v>0</v>
      </c>
      <c r="W29" s="36" t="s">
        <v>104</v>
      </c>
      <c r="X29" s="8" t="s">
        <v>14</v>
      </c>
      <c r="Y29" s="77">
        <f t="shared" ref="Y29" si="116">IF(T29="", 0, IF(T29&gt;V29, 3, IF(T29=V29, 1, 0)))</f>
        <v>3</v>
      </c>
      <c r="Z29" s="77">
        <f t="shared" ref="Z2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-7</v>
      </c>
      <c r="AF29" s="104">
        <f t="shared" si="107"/>
        <v>1</v>
      </c>
      <c r="AG29" s="77"/>
      <c r="AH29" s="60">
        <v>4</v>
      </c>
      <c r="AI29" s="35" t="str">
        <f t="shared" si="108"/>
        <v>Áustria</v>
      </c>
      <c r="AJ29" s="116">
        <f t="shared" si="109"/>
        <v>1</v>
      </c>
      <c r="AK29" s="116">
        <f t="shared" si="110"/>
        <v>-6</v>
      </c>
      <c r="AL29" s="116">
        <f t="shared" si="111"/>
        <v>0</v>
      </c>
      <c r="AM29" s="107"/>
      <c r="AO29" s="77"/>
      <c r="AP29" s="107"/>
      <c r="AQ29" s="107"/>
      <c r="AR29" s="107"/>
      <c r="AS29" s="107"/>
      <c r="AU29" s="77"/>
      <c r="AV29" s="107"/>
      <c r="AW29" s="107"/>
      <c r="AX29" s="107"/>
    </row>
    <row r="30" spans="1:50">
      <c r="A30" s="120" t="s">
        <v>105</v>
      </c>
      <c r="B30" s="120"/>
      <c r="C30" s="120"/>
      <c r="D30" s="120"/>
      <c r="E30" s="120"/>
      <c r="F30" s="10">
        <v>46188</v>
      </c>
      <c r="G30" s="3"/>
      <c r="H30" s="77"/>
      <c r="I30" s="77"/>
      <c r="J30" s="120" t="s">
        <v>106</v>
      </c>
      <c r="K30" s="120"/>
      <c r="L30" s="120"/>
      <c r="M30" s="120"/>
      <c r="N30" s="120"/>
      <c r="O30" s="10">
        <v>46194</v>
      </c>
      <c r="P30" s="3"/>
      <c r="Q30" s="77"/>
      <c r="R30" s="77"/>
      <c r="S30" s="120" t="s">
        <v>107</v>
      </c>
      <c r="T30" s="120"/>
      <c r="U30" s="120"/>
      <c r="V30" s="120"/>
      <c r="W30" s="120"/>
      <c r="X30" s="10">
        <v>46199</v>
      </c>
      <c r="Y30" s="77"/>
      <c r="Z30" s="77"/>
      <c r="AA30" s="77"/>
      <c r="AC30" s="77"/>
      <c r="AD30" s="107"/>
      <c r="AE30" s="107"/>
      <c r="AF30" s="107"/>
      <c r="AG30" s="77"/>
      <c r="AI30" s="77"/>
      <c r="AJ30" s="107"/>
      <c r="AK30" s="107"/>
      <c r="AL30" s="107"/>
      <c r="AM30" s="107"/>
      <c r="AO30" s="77"/>
      <c r="AP30" s="107"/>
      <c r="AQ30" s="107"/>
      <c r="AR30" s="107"/>
      <c r="AS30" s="107"/>
      <c r="AU30" s="77"/>
      <c r="AV30" s="107"/>
      <c r="AW30" s="107"/>
      <c r="AX30" s="107"/>
    </row>
    <row r="31" spans="1:50">
      <c r="A31" s="102" t="s">
        <v>94</v>
      </c>
      <c r="B31" s="107">
        <v>0</v>
      </c>
      <c r="C31" s="119" t="s">
        <v>12</v>
      </c>
      <c r="D31" s="107">
        <v>1</v>
      </c>
      <c r="E31" s="101" t="s">
        <v>108</v>
      </c>
      <c r="F31" s="8" t="s">
        <v>29</v>
      </c>
      <c r="G31" s="5">
        <f t="shared" ref="G31" si="118">IF(B31="", 0, IF(B31&gt;D31, 3, IF(B31=D31, 1, 0)))</f>
        <v>0</v>
      </c>
      <c r="H31" s="77">
        <f t="shared" ref="H31" si="119">IF(D31="", 0, IF(D31&gt;B31, 3, IF(D31=B31, 1, 0)))</f>
        <v>3</v>
      </c>
      <c r="I31" s="77"/>
      <c r="J31" s="102" t="s">
        <v>108</v>
      </c>
      <c r="K31" s="107">
        <v>2</v>
      </c>
      <c r="L31" s="119" t="s">
        <v>12</v>
      </c>
      <c r="M31" s="107">
        <v>0</v>
      </c>
      <c r="N31" s="101" t="s">
        <v>93</v>
      </c>
      <c r="O31" s="8" t="s">
        <v>29</v>
      </c>
      <c r="P31" s="4">
        <f t="shared" ref="P31" si="120">IF(K31="", 0, IF(K31&gt;M31, 3, IF(K31=M31, 1, 0)))</f>
        <v>3</v>
      </c>
      <c r="Q31" s="77">
        <f t="shared" ref="Q31" si="121">IF(M31="", 0, IF(M31&gt;K31, 3, IF(M31=K31, 1, 0)))</f>
        <v>0</v>
      </c>
      <c r="R31" s="77"/>
      <c r="S31" s="102" t="s">
        <v>93</v>
      </c>
      <c r="T31" s="107">
        <v>0</v>
      </c>
      <c r="U31" s="119" t="s">
        <v>12</v>
      </c>
      <c r="V31" s="107">
        <v>1</v>
      </c>
      <c r="W31" s="101" t="s">
        <v>94</v>
      </c>
      <c r="X31" s="8" t="s">
        <v>83</v>
      </c>
      <c r="Y31" s="77">
        <f t="shared" ref="Y31" si="122">IF(T31="", 0, IF(T31&gt;V31, 3, IF(T31=V31, 1, 0)))</f>
        <v>0</v>
      </c>
      <c r="Z31" s="77">
        <f t="shared" ref="Z31" si="123">IF(V31="", 0, IF(V31&gt;T31, 3, IF(V31=T31, 1, 0)))</f>
        <v>3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7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7"/>
      <c r="AO31" s="77"/>
      <c r="AP31" s="107"/>
      <c r="AQ31" s="107"/>
      <c r="AR31" s="107"/>
      <c r="AS31" s="107"/>
      <c r="AU31" s="77"/>
      <c r="AV31" s="107"/>
      <c r="AW31" s="107"/>
      <c r="AX31" s="107"/>
    </row>
    <row r="32" spans="1:50">
      <c r="A32" s="127" t="s">
        <v>111</v>
      </c>
      <c r="B32" s="127"/>
      <c r="C32" s="127"/>
      <c r="D32" s="127"/>
      <c r="E32" s="127"/>
      <c r="F32" s="10">
        <v>46188</v>
      </c>
      <c r="G32" s="3"/>
      <c r="H32" s="77"/>
      <c r="I32" s="77"/>
      <c r="J32" s="127" t="s">
        <v>112</v>
      </c>
      <c r="K32" s="127"/>
      <c r="L32" s="127"/>
      <c r="M32" s="127"/>
      <c r="N32" s="127"/>
      <c r="O32" s="10">
        <v>46194</v>
      </c>
      <c r="P32" s="3"/>
      <c r="Q32" s="77"/>
      <c r="R32" s="77"/>
      <c r="S32" s="120" t="s">
        <v>113</v>
      </c>
      <c r="T32" s="120"/>
      <c r="U32" s="120"/>
      <c r="V32" s="120"/>
      <c r="W32" s="120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Portugal</v>
      </c>
      <c r="AD32" s="108">
        <f>VLOOKUP(AC32, $AO$92:$AR$95, 2, 0)</f>
        <v>9</v>
      </c>
      <c r="AE32" s="108">
        <f>VLOOKUP(AC32, $AO$92:$AR$95, 3, 0)</f>
        <v>6</v>
      </c>
      <c r="AF32" s="108">
        <f>VLOOKUP(AC32, $AO$92:$AR$95, 4, 0)</f>
        <v>6</v>
      </c>
      <c r="AG32" s="107"/>
      <c r="AH32" s="59">
        <v>1</v>
      </c>
      <c r="AI32" s="33" t="str">
        <f>INDEX($AU$92:$AU$95, MATCH(LARGE($AY$92:$AY$95, AH32), $AY$92:$AY$95, 0))</f>
        <v>Inglaterra</v>
      </c>
      <c r="AJ32" s="106">
        <f>VLOOKUP(AI32, $AU$92:$AX$95, 2, 0)</f>
        <v>9</v>
      </c>
      <c r="AK32" s="106">
        <f>VLOOKUP(AI32, $AU$92:$AX$95, 3, 0)</f>
        <v>8</v>
      </c>
      <c r="AL32" s="106">
        <f>VLOOKUP(AI32, $AU$92:$AX$95, 4, 0)</f>
        <v>8</v>
      </c>
      <c r="AM32" s="107"/>
      <c r="AO32" s="77"/>
      <c r="AP32" s="107"/>
      <c r="AQ32" s="107"/>
      <c r="AR32" s="107"/>
      <c r="AS32" s="107"/>
      <c r="AU32" s="77"/>
      <c r="AV32" s="107"/>
      <c r="AW32" s="107"/>
      <c r="AX32" s="107"/>
    </row>
    <row r="33" spans="1:50">
      <c r="A33" s="48" t="s">
        <v>102</v>
      </c>
      <c r="B33" s="107">
        <v>1</v>
      </c>
      <c r="C33" s="118" t="s">
        <v>12</v>
      </c>
      <c r="D33" s="107">
        <v>1</v>
      </c>
      <c r="E33" s="38" t="s">
        <v>114</v>
      </c>
      <c r="F33" s="8" t="s">
        <v>39</v>
      </c>
      <c r="G33" s="5">
        <f t="shared" ref="G33" si="124">IF(B33="", 0, IF(B33&gt;D33, 3, IF(B33=D33, 1, 0)))</f>
        <v>1</v>
      </c>
      <c r="H33" s="77">
        <f t="shared" ref="H33" si="125">IF(D33="", 0, IF(D33&gt;B33, 3, IF(D33=B33, 1, 0)))</f>
        <v>1</v>
      </c>
      <c r="I33" s="77"/>
      <c r="J33" s="48" t="s">
        <v>114</v>
      </c>
      <c r="K33" s="107">
        <v>1</v>
      </c>
      <c r="L33" s="118" t="s">
        <v>12</v>
      </c>
      <c r="M33" s="107">
        <v>1</v>
      </c>
      <c r="N33" s="38" t="s">
        <v>101</v>
      </c>
      <c r="O33" s="8" t="s">
        <v>39</v>
      </c>
      <c r="P33" s="4">
        <f t="shared" ref="P33" si="126">IF(K33="", 0, IF(K33&gt;M33, 3, IF(K33=M33, 1, 0)))</f>
        <v>1</v>
      </c>
      <c r="Q33" s="77">
        <f t="shared" ref="Q33" si="127">IF(M33="", 0, IF(M33&gt;K33, 3, IF(M33=K33, 1, 0)))</f>
        <v>1</v>
      </c>
      <c r="R33" s="77"/>
      <c r="S33" s="102" t="s">
        <v>108</v>
      </c>
      <c r="T33" s="107">
        <v>1</v>
      </c>
      <c r="U33" s="119" t="s">
        <v>12</v>
      </c>
      <c r="V33" s="107">
        <v>1</v>
      </c>
      <c r="W33" s="101" t="s">
        <v>92</v>
      </c>
      <c r="X33" s="8" t="s">
        <v>83</v>
      </c>
      <c r="Y33" s="77">
        <f t="shared" ref="Y33" si="128">IF(T33="", 0, IF(T33&gt;V33, 3, IF(T33=V33, 1, 0)))</f>
        <v>1</v>
      </c>
      <c r="Z33" s="77">
        <f t="shared" ref="Z33" si="129">IF(V33="", 0, IF(V33&gt;T33, 3, IF(V33=T33, 1, 0)))</f>
        <v>1</v>
      </c>
      <c r="AA33" s="77"/>
      <c r="AB33" s="56">
        <v>2</v>
      </c>
      <c r="AC33" s="37" t="str">
        <f t="shared" ref="AC33:AC35" si="130">INDEX($AO$92:$AO$95, MATCH(LARGE($AS$92:$AS$95, AB33), $AS$92:$AS$95, 0))</f>
        <v>Colômbia</v>
      </c>
      <c r="AD33" s="108">
        <f t="shared" ref="AD33:AD35" si="131">VLOOKUP(AC33, $AO$92:$AR$95, 2, 0)</f>
        <v>6</v>
      </c>
      <c r="AE33" s="108">
        <f t="shared" ref="AE33:AE35" si="132">VLOOKUP(AC33, $AO$92:$AR$95, 3, 0)</f>
        <v>2</v>
      </c>
      <c r="AF33" s="108">
        <f t="shared" ref="AF33:AF35" si="133">VLOOKUP(AC33, $AO$92:$AR$95, 4, 0)</f>
        <v>4</v>
      </c>
      <c r="AG33" s="107"/>
      <c r="AH33" s="59">
        <v>2</v>
      </c>
      <c r="AI33" s="33" t="str">
        <f t="shared" ref="AI33:AI35" si="134">INDEX($AU$92:$AU$95, MATCH(LARGE($AY$92:$AY$95, AH33), $AY$92:$AY$95, 0))</f>
        <v>Croácia</v>
      </c>
      <c r="AJ33" s="106">
        <f t="shared" ref="AJ33:AJ35" si="135">VLOOKUP(AI33, $AU$92:$AX$95, 2, 0)</f>
        <v>6</v>
      </c>
      <c r="AK33" s="106">
        <f t="shared" ref="AK33:AK35" si="136">VLOOKUP(AI33, $AU$92:$AX$95, 3, 0)</f>
        <v>0</v>
      </c>
      <c r="AL33" s="106">
        <f t="shared" ref="AL33:AL35" si="137">VLOOKUP(AI33, $AU$92:$AX$95, 4, 0)</f>
        <v>2</v>
      </c>
      <c r="AM33" s="107"/>
      <c r="AO33" s="77"/>
      <c r="AP33" s="107"/>
      <c r="AQ33" s="107"/>
      <c r="AR33" s="107"/>
      <c r="AS33" s="107"/>
      <c r="AU33" s="77"/>
      <c r="AV33" s="107"/>
      <c r="AW33" s="107"/>
      <c r="AX33" s="107"/>
    </row>
    <row r="34" spans="1:50">
      <c r="A34" s="124" t="s">
        <v>115</v>
      </c>
      <c r="B34" s="124"/>
      <c r="C34" s="124"/>
      <c r="D34" s="124"/>
      <c r="E34" s="124"/>
      <c r="F34" s="10">
        <v>46189</v>
      </c>
      <c r="G34" s="3"/>
      <c r="H34" s="77"/>
      <c r="I34" s="77"/>
      <c r="J34" s="121" t="s">
        <v>116</v>
      </c>
      <c r="K34" s="121"/>
      <c r="L34" s="121"/>
      <c r="M34" s="121"/>
      <c r="N34" s="121"/>
      <c r="O34" s="10">
        <v>46195</v>
      </c>
      <c r="P34" s="3"/>
      <c r="Q34" s="77"/>
      <c r="R34" s="77"/>
      <c r="S34" s="127" t="s">
        <v>117</v>
      </c>
      <c r="T34" s="127"/>
      <c r="U34" s="127"/>
      <c r="V34" s="127"/>
      <c r="W34" s="127"/>
      <c r="X34" s="10">
        <v>46200</v>
      </c>
      <c r="Y34" s="77"/>
      <c r="Z34" s="77"/>
      <c r="AA34" s="77"/>
      <c r="AB34" s="56">
        <v>3</v>
      </c>
      <c r="AC34" s="37" t="str">
        <f t="shared" si="130"/>
        <v>Uzbequistão</v>
      </c>
      <c r="AD34" s="108">
        <f t="shared" si="131"/>
        <v>1</v>
      </c>
      <c r="AE34" s="108">
        <f t="shared" si="132"/>
        <v>-3</v>
      </c>
      <c r="AF34" s="108">
        <f t="shared" si="133"/>
        <v>0</v>
      </c>
      <c r="AG34" s="107"/>
      <c r="AH34" s="59">
        <v>3</v>
      </c>
      <c r="AI34" s="33" t="str">
        <f t="shared" si="134"/>
        <v>Gana</v>
      </c>
      <c r="AJ34" s="106">
        <f t="shared" si="135"/>
        <v>3</v>
      </c>
      <c r="AK34" s="106">
        <f t="shared" si="136"/>
        <v>-3</v>
      </c>
      <c r="AL34" s="106">
        <f t="shared" si="137"/>
        <v>2</v>
      </c>
      <c r="AM34" s="107"/>
      <c r="AO34" s="77"/>
      <c r="AP34" s="107"/>
      <c r="AQ34" s="107"/>
      <c r="AR34" s="107"/>
      <c r="AS34" s="107"/>
      <c r="AU34" s="77"/>
      <c r="AV34" s="107"/>
      <c r="AW34" s="107"/>
      <c r="AX34" s="107"/>
    </row>
    <row r="35" spans="1:50">
      <c r="A35" s="51" t="s">
        <v>96</v>
      </c>
      <c r="B35" s="107">
        <v>2</v>
      </c>
      <c r="C35" s="104" t="s">
        <v>12</v>
      </c>
      <c r="D35" s="107">
        <v>1</v>
      </c>
      <c r="E35" s="36" t="s">
        <v>103</v>
      </c>
      <c r="F35" s="8" t="s">
        <v>14</v>
      </c>
      <c r="G35" s="5">
        <f t="shared" ref="G35" si="138">IF(B35="", 0, IF(B35&gt;D35, 3, IF(B35=D35, 1, 0)))</f>
        <v>3</v>
      </c>
      <c r="H35" s="77">
        <f t="shared" ref="H35" si="139">IF(D35="", 0, IF(D35&gt;B35, 3, IF(D35=B35, 1, 0)))</f>
        <v>0</v>
      </c>
      <c r="I35" s="77"/>
      <c r="J35" s="60" t="s">
        <v>118</v>
      </c>
      <c r="K35" s="107">
        <v>4</v>
      </c>
      <c r="L35" s="116" t="s">
        <v>12</v>
      </c>
      <c r="M35" s="107">
        <v>0</v>
      </c>
      <c r="N35" s="35" t="s">
        <v>119</v>
      </c>
      <c r="O35" s="8" t="s">
        <v>69</v>
      </c>
      <c r="P35" s="4">
        <f t="shared" ref="P35" si="140">IF(K35="", 0, IF(K35&gt;M35, 3, IF(K35=M35, 1, 0)))</f>
        <v>3</v>
      </c>
      <c r="Q35" s="77">
        <f t="shared" ref="Q35" si="141">IF(M35="", 0, IF(M35&gt;K35, 3, IF(M35=K35, 1, 0)))</f>
        <v>0</v>
      </c>
      <c r="R35" s="77"/>
      <c r="S35" s="48" t="s">
        <v>114</v>
      </c>
      <c r="T35" s="107">
        <v>0</v>
      </c>
      <c r="U35" s="118" t="s">
        <v>12</v>
      </c>
      <c r="V35" s="107">
        <v>2</v>
      </c>
      <c r="W35" s="38" t="s">
        <v>100</v>
      </c>
      <c r="X35" s="8" t="s">
        <v>63</v>
      </c>
      <c r="Y35" s="77">
        <f t="shared" ref="Y35" si="142">IF(T35="", 0, IF(T35&gt;V35, 3, IF(T35=V35, 1, 0)))</f>
        <v>0</v>
      </c>
      <c r="Z35" s="77">
        <f t="shared" ref="Z35" si="143">IF(V35="", 0, IF(V35&gt;T35, 3, IF(V35=T35, 1, 0)))</f>
        <v>3</v>
      </c>
      <c r="AA35" s="77"/>
      <c r="AB35" s="56">
        <v>4</v>
      </c>
      <c r="AC35" s="37" t="str">
        <f t="shared" si="130"/>
        <v>RD Congo</v>
      </c>
      <c r="AD35" s="108">
        <f t="shared" si="131"/>
        <v>1</v>
      </c>
      <c r="AE35" s="108">
        <f t="shared" si="132"/>
        <v>-5</v>
      </c>
      <c r="AF35" s="108">
        <f t="shared" si="133"/>
        <v>0</v>
      </c>
      <c r="AG35" s="107"/>
      <c r="AH35" s="59">
        <v>4</v>
      </c>
      <c r="AI35" s="33" t="str">
        <f t="shared" si="134"/>
        <v>Panamá</v>
      </c>
      <c r="AJ35" s="106">
        <f t="shared" si="135"/>
        <v>0</v>
      </c>
      <c r="AK35" s="106">
        <f t="shared" si="136"/>
        <v>-5</v>
      </c>
      <c r="AL35" s="106">
        <f t="shared" si="137"/>
        <v>1</v>
      </c>
      <c r="AM35" s="107"/>
      <c r="AO35" s="77"/>
      <c r="AP35" s="107"/>
      <c r="AQ35" s="107"/>
      <c r="AR35" s="107"/>
      <c r="AS35" s="107"/>
      <c r="AU35" s="77"/>
      <c r="AV35" s="107"/>
      <c r="AW35" s="107"/>
      <c r="AX35" s="107"/>
    </row>
    <row r="36" spans="1:50">
      <c r="A36" s="124" t="s">
        <v>120</v>
      </c>
      <c r="B36" s="124"/>
      <c r="C36" s="124"/>
      <c r="D36" s="124"/>
      <c r="E36" s="124"/>
      <c r="F36" s="10">
        <v>46189</v>
      </c>
      <c r="G36" s="3"/>
      <c r="H36" s="77"/>
      <c r="I36" s="77"/>
      <c r="J36" s="124" t="s">
        <v>121</v>
      </c>
      <c r="K36" s="124"/>
      <c r="L36" s="124"/>
      <c r="M36" s="124"/>
      <c r="N36" s="124"/>
      <c r="O36" s="10">
        <v>46195</v>
      </c>
      <c r="P36" s="3"/>
      <c r="Q36" s="77"/>
      <c r="R36" s="77"/>
      <c r="S36" s="127" t="s">
        <v>122</v>
      </c>
      <c r="T36" s="127"/>
      <c r="U36" s="127"/>
      <c r="V36" s="127"/>
      <c r="W36" s="127"/>
      <c r="X36" s="10">
        <v>46200</v>
      </c>
      <c r="Y36" s="77"/>
      <c r="Z36" s="77"/>
      <c r="AA36" s="77"/>
      <c r="AC36" s="77"/>
      <c r="AD36" s="107"/>
      <c r="AE36" s="107"/>
      <c r="AF36" s="107"/>
      <c r="AG36" s="77"/>
      <c r="AI36" s="77"/>
      <c r="AJ36" s="107"/>
      <c r="AK36" s="107"/>
      <c r="AL36" s="107"/>
      <c r="AM36" s="107"/>
      <c r="AO36" s="77"/>
      <c r="AP36" s="107"/>
      <c r="AQ36" s="107"/>
      <c r="AR36" s="107"/>
      <c r="AS36" s="107"/>
      <c r="AU36" s="77"/>
      <c r="AV36" s="107"/>
      <c r="AW36" s="107"/>
      <c r="AX36" s="107"/>
    </row>
    <row r="37" spans="1:50">
      <c r="A37" s="51" t="s">
        <v>104</v>
      </c>
      <c r="B37" s="107">
        <v>1</v>
      </c>
      <c r="C37" s="104" t="s">
        <v>12</v>
      </c>
      <c r="D37" s="107">
        <v>3</v>
      </c>
      <c r="E37" s="36" t="s">
        <v>95</v>
      </c>
      <c r="F37" s="8" t="s">
        <v>29</v>
      </c>
      <c r="G37" s="5">
        <f t="shared" ref="G37" si="144">IF(B37="", 0, IF(B37&gt;D37, 3, IF(B37=D37, 1, 0)))</f>
        <v>0</v>
      </c>
      <c r="H37" s="77">
        <f t="shared" ref="H37" si="145">IF(D37="", 0, IF(D37&gt;B37, 3, IF(D37=B37, 1, 0)))</f>
        <v>3</v>
      </c>
      <c r="I37" s="77"/>
      <c r="J37" s="51" t="s">
        <v>96</v>
      </c>
      <c r="K37" s="107">
        <v>3</v>
      </c>
      <c r="L37" s="104" t="s">
        <v>12</v>
      </c>
      <c r="M37" s="107">
        <v>0</v>
      </c>
      <c r="N37" s="36" t="s">
        <v>104</v>
      </c>
      <c r="O37" s="8" t="s">
        <v>123</v>
      </c>
      <c r="P37" s="4">
        <f t="shared" ref="P37" si="146">IF(K37="", 0, IF(K37&gt;M37, 3, IF(K37=M37, 1, 0)))</f>
        <v>3</v>
      </c>
      <c r="Q37" s="77">
        <f t="shared" ref="Q37" si="147">IF(M37="", 0, IF(M37&gt;K37, 3, IF(M37=K37, 1, 0)))</f>
        <v>0</v>
      </c>
      <c r="R37" s="77"/>
      <c r="S37" s="48" t="s">
        <v>101</v>
      </c>
      <c r="T37" s="107">
        <v>1</v>
      </c>
      <c r="U37" s="118" t="s">
        <v>12</v>
      </c>
      <c r="V37" s="107">
        <v>0</v>
      </c>
      <c r="W37" s="38" t="s">
        <v>102</v>
      </c>
      <c r="X37" s="8" t="s">
        <v>63</v>
      </c>
      <c r="Y37" s="77">
        <f t="shared" ref="Y37" si="148">IF(T37="", 0, IF(T37&gt;V37, 3, IF(T37=V37, 1, 0)))</f>
        <v>3</v>
      </c>
      <c r="Z37" s="77">
        <f t="shared" ref="Z37" si="149">IF(V37="", 0, IF(V37&gt;T37, 3, IF(V37=T37, 1, 0)))</f>
        <v>0</v>
      </c>
      <c r="AA37" s="77"/>
      <c r="AB37" s="76"/>
      <c r="AC37" s="117" t="s">
        <v>124</v>
      </c>
      <c r="AD37" s="117" t="s">
        <v>4</v>
      </c>
      <c r="AE37" s="117" t="s">
        <v>5</v>
      </c>
      <c r="AF37" s="117" t="s">
        <v>6</v>
      </c>
      <c r="AG37" s="1"/>
      <c r="AI37" s="77"/>
      <c r="AJ37" s="107"/>
      <c r="AK37" s="107"/>
      <c r="AL37" s="107"/>
      <c r="AM37" s="107"/>
      <c r="AO37" s="77"/>
      <c r="AP37" s="107"/>
      <c r="AQ37" s="107"/>
      <c r="AR37" s="107"/>
      <c r="AS37" s="107"/>
      <c r="AU37" s="77"/>
      <c r="AV37" s="107"/>
      <c r="AW37" s="107"/>
      <c r="AX37" s="107"/>
    </row>
    <row r="38" spans="1:50">
      <c r="A38" s="121" t="s">
        <v>125</v>
      </c>
      <c r="B38" s="121"/>
      <c r="C38" s="121"/>
      <c r="D38" s="121"/>
      <c r="E38" s="121"/>
      <c r="F38" s="10">
        <v>46189</v>
      </c>
      <c r="G38" s="3"/>
      <c r="H38" s="77"/>
      <c r="I38" s="77"/>
      <c r="J38" s="124" t="s">
        <v>126</v>
      </c>
      <c r="K38" s="124"/>
      <c r="L38" s="124"/>
      <c r="M38" s="124"/>
      <c r="N38" s="124"/>
      <c r="O38" s="10">
        <v>46195</v>
      </c>
      <c r="P38" s="3"/>
      <c r="Q38" s="77"/>
      <c r="R38" s="77"/>
      <c r="S38" s="125" t="s">
        <v>127</v>
      </c>
      <c r="T38" s="125"/>
      <c r="U38" s="125"/>
      <c r="V38" s="125"/>
      <c r="W38" s="125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Suécia</v>
      </c>
      <c r="AD38" s="110">
        <f>VLOOKUP(AC38, $BC$80:$BH$91, 2, 0)</f>
        <v>5</v>
      </c>
      <c r="AE38" s="110">
        <f>VLOOKUP(AC38, $BC$80:$BH$91, 3, 0)</f>
        <v>2</v>
      </c>
      <c r="AF38" s="110">
        <f>VLOOKUP(AC38, $BC$80:$BH$91, 4, 0)</f>
        <v>5</v>
      </c>
      <c r="AG38" s="12" t="str">
        <f>VLOOKUP(AC38, $BC$80:$BH$91, 6, 0)</f>
        <v>F</v>
      </c>
      <c r="AI38" s="77"/>
      <c r="AJ38" s="107"/>
      <c r="AK38" s="107"/>
      <c r="AL38" s="107"/>
      <c r="AM38" s="107"/>
      <c r="AO38" s="77"/>
      <c r="AP38" s="107"/>
      <c r="AQ38" s="107"/>
      <c r="AR38" s="107"/>
      <c r="AS38" s="107"/>
      <c r="AU38" s="77"/>
      <c r="AV38" s="107"/>
      <c r="AW38" s="107"/>
      <c r="AX38" s="107"/>
    </row>
    <row r="39" spans="1:50">
      <c r="A39" s="60" t="s">
        <v>118</v>
      </c>
      <c r="B39" s="107">
        <v>2</v>
      </c>
      <c r="C39" s="116" t="s">
        <v>12</v>
      </c>
      <c r="D39" s="107">
        <v>0</v>
      </c>
      <c r="E39" s="35" t="s">
        <v>128</v>
      </c>
      <c r="F39" s="8" t="s">
        <v>39</v>
      </c>
      <c r="G39" s="5">
        <f t="shared" ref="G39" si="150">IF(B39="", 0, IF(B39&gt;D39, 3, IF(B39=D39, 1, 0)))</f>
        <v>3</v>
      </c>
      <c r="H39" s="77">
        <f t="shared" ref="H39" si="151">IF(D39="", 0, IF(D39&gt;B39, 3, IF(D39=B39, 1, 0)))</f>
        <v>0</v>
      </c>
      <c r="I39" s="77"/>
      <c r="J39" s="51" t="s">
        <v>95</v>
      </c>
      <c r="K39" s="107">
        <v>3</v>
      </c>
      <c r="L39" s="104" t="s">
        <v>12</v>
      </c>
      <c r="M39" s="107">
        <v>2</v>
      </c>
      <c r="N39" s="36" t="s">
        <v>103</v>
      </c>
      <c r="O39" s="8" t="s">
        <v>83</v>
      </c>
      <c r="P39" s="4">
        <f t="shared" ref="P39" si="152">IF(K39="", 0, IF(K39&gt;M39, 3, IF(K39=M39, 1, 0)))</f>
        <v>3</v>
      </c>
      <c r="Q39" s="77">
        <f t="shared" ref="Q39" si="153">IF(M39="", 0, IF(M39&gt;K39, 3, IF(M39=K39, 1, 0)))</f>
        <v>0</v>
      </c>
      <c r="R39" s="77"/>
      <c r="S39" s="59" t="s">
        <v>129</v>
      </c>
      <c r="T39" s="107">
        <v>0</v>
      </c>
      <c r="U39" s="106" t="s">
        <v>12</v>
      </c>
      <c r="V39" s="107">
        <v>3</v>
      </c>
      <c r="W39" s="33" t="s">
        <v>130</v>
      </c>
      <c r="X39" s="8" t="s">
        <v>123</v>
      </c>
      <c r="Y39" s="77">
        <f t="shared" ref="Y39" si="154">IF(T39="", 0, IF(T39&gt;V39, 3, IF(T39=V39, 1, 0)))</f>
        <v>0</v>
      </c>
      <c r="Z39" s="77">
        <f t="shared" ref="Z3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Tchéquia</v>
      </c>
      <c r="AD39" s="110">
        <f t="shared" ref="AD39:AD49" si="157">VLOOKUP(AC39, $BC$80:$BH$91, 2, 0)</f>
        <v>4</v>
      </c>
      <c r="AE39" s="110">
        <f t="shared" ref="AE39:AE49" si="158">VLOOKUP(AC39, $BC$80:$BH$91, 3, 0)</f>
        <v>1</v>
      </c>
      <c r="AF39" s="110">
        <f t="shared" ref="AF39:AF49" si="159">VLOOKUP(AC39, $BC$80:$BH$91, 4, 0)</f>
        <v>3</v>
      </c>
      <c r="AG39" s="12" t="str">
        <f t="shared" ref="AG39:AG49" si="160">VLOOKUP(AC39, $BC$80:$BH$91, 6, 0)</f>
        <v>A</v>
      </c>
      <c r="AI39" s="77"/>
      <c r="AJ39" s="107"/>
      <c r="AK39" s="107"/>
      <c r="AL39" s="107"/>
      <c r="AM39" s="107"/>
      <c r="AO39" s="77"/>
      <c r="AP39" s="107"/>
      <c r="AQ39" s="107"/>
      <c r="AR39" s="107"/>
      <c r="AS39" s="107"/>
      <c r="AU39" s="77"/>
      <c r="AV39" s="107"/>
      <c r="AW39" s="107"/>
      <c r="AX39" s="107"/>
    </row>
    <row r="40" spans="1:50">
      <c r="A40" s="121" t="s">
        <v>131</v>
      </c>
      <c r="B40" s="121"/>
      <c r="C40" s="121"/>
      <c r="D40" s="121"/>
      <c r="E40" s="121"/>
      <c r="F40" s="10">
        <v>46190</v>
      </c>
      <c r="G40" s="3"/>
      <c r="H40" s="77"/>
      <c r="I40" s="77"/>
      <c r="J40" s="121" t="s">
        <v>132</v>
      </c>
      <c r="K40" s="121"/>
      <c r="L40" s="121"/>
      <c r="M40" s="121"/>
      <c r="N40" s="121"/>
      <c r="O40" s="10">
        <v>46196</v>
      </c>
      <c r="P40" s="3"/>
      <c r="Q40" s="77"/>
      <c r="R40" s="77"/>
      <c r="S40" s="125" t="s">
        <v>133</v>
      </c>
      <c r="T40" s="125"/>
      <c r="U40" s="125"/>
      <c r="V40" s="125"/>
      <c r="W40" s="125"/>
      <c r="X40" s="10">
        <v>46200</v>
      </c>
      <c r="Y40" s="77"/>
      <c r="Z40" s="77"/>
      <c r="AA40" s="77"/>
      <c r="AB40" s="40">
        <v>3</v>
      </c>
      <c r="AC40" s="75" t="str">
        <f t="shared" si="156"/>
        <v>Paraguai</v>
      </c>
      <c r="AD40" s="110">
        <f t="shared" si="157"/>
        <v>4</v>
      </c>
      <c r="AE40" s="110">
        <f t="shared" si="158"/>
        <v>-1</v>
      </c>
      <c r="AF40" s="110">
        <f t="shared" si="159"/>
        <v>3</v>
      </c>
      <c r="AG40" s="12" t="str">
        <f t="shared" si="160"/>
        <v>D</v>
      </c>
      <c r="AI40" s="77"/>
      <c r="AJ40" s="107"/>
      <c r="AK40" s="107"/>
      <c r="AL40" s="107"/>
      <c r="AM40" s="107"/>
      <c r="AO40" s="77"/>
      <c r="AP40" s="107"/>
      <c r="AQ40" s="107"/>
      <c r="AR40" s="107"/>
      <c r="AS40" s="107"/>
      <c r="AU40" s="77"/>
      <c r="AV40" s="107"/>
      <c r="AW40" s="107"/>
      <c r="AX40" s="107"/>
    </row>
    <row r="41" spans="1:50">
      <c r="A41" s="60" t="s">
        <v>119</v>
      </c>
      <c r="B41" s="107">
        <v>0</v>
      </c>
      <c r="C41" s="116" t="s">
        <v>12</v>
      </c>
      <c r="D41" s="107">
        <v>0</v>
      </c>
      <c r="E41" s="35" t="s">
        <v>134</v>
      </c>
      <c r="F41" s="8" t="s">
        <v>62</v>
      </c>
      <c r="G41" s="5">
        <f t="shared" ref="G41" si="161">IF(B41="", 0, IF(B41&gt;D41, 3, IF(B41=D41, 1, 0)))</f>
        <v>1</v>
      </c>
      <c r="H41" s="77">
        <f t="shared" ref="H41" si="162">IF(D41="", 0, IF(D41&gt;B41, 3, IF(D41=B41, 1, 0)))</f>
        <v>1</v>
      </c>
      <c r="I41" s="77"/>
      <c r="J41" s="60" t="s">
        <v>134</v>
      </c>
      <c r="K41" s="107">
        <v>0</v>
      </c>
      <c r="L41" s="116" t="s">
        <v>12</v>
      </c>
      <c r="M41" s="107">
        <v>1</v>
      </c>
      <c r="N41" s="35" t="s">
        <v>128</v>
      </c>
      <c r="O41" s="8" t="s">
        <v>63</v>
      </c>
      <c r="P41" s="4">
        <f t="shared" ref="P41" si="163">IF(K41="", 0, IF(K41&gt;M41, 3, IF(K41=M41, 1, 0)))</f>
        <v>0</v>
      </c>
      <c r="Q41" s="77">
        <f t="shared" ref="Q41" si="164">IF(M41="", 0, IF(M41&gt;K41, 3, IF(M41=K41, 1, 0)))</f>
        <v>3</v>
      </c>
      <c r="R41" s="77"/>
      <c r="S41" s="59" t="s">
        <v>135</v>
      </c>
      <c r="T41" s="107">
        <v>1</v>
      </c>
      <c r="U41" s="106" t="s">
        <v>12</v>
      </c>
      <c r="V41" s="107">
        <v>0</v>
      </c>
      <c r="W41" s="33" t="s">
        <v>136</v>
      </c>
      <c r="X41" s="8" t="s">
        <v>123</v>
      </c>
      <c r="Y41" s="77">
        <f t="shared" ref="Y41" si="165">IF(T41="", 0, IF(T41&gt;V41, 3, IF(T41=V41, 1, 0)))</f>
        <v>3</v>
      </c>
      <c r="Z41" s="77">
        <f t="shared" ref="Z41" si="166">IF(V41="", 0, IF(V41&gt;T41, 3, IF(V41=T41, 1, 0)))</f>
        <v>0</v>
      </c>
      <c r="AA41" s="77"/>
      <c r="AB41" s="40">
        <v>4</v>
      </c>
      <c r="AC41" s="75" t="str">
        <f t="shared" si="156"/>
        <v>Alemanha</v>
      </c>
      <c r="AD41" s="110">
        <f t="shared" si="157"/>
        <v>3</v>
      </c>
      <c r="AE41" s="110">
        <f t="shared" si="158"/>
        <v>4</v>
      </c>
      <c r="AF41" s="110">
        <f t="shared" si="159"/>
        <v>7</v>
      </c>
      <c r="AG41" s="12" t="str">
        <f t="shared" si="160"/>
        <v>E</v>
      </c>
      <c r="AI41" s="77"/>
      <c r="AJ41" s="107"/>
      <c r="AK41" s="107"/>
      <c r="AL41" s="107"/>
      <c r="AM41" s="107"/>
      <c r="AO41" s="77"/>
      <c r="AP41" s="107"/>
      <c r="AQ41" s="107"/>
      <c r="AR41" s="107"/>
      <c r="AS41" s="107"/>
      <c r="AU41" s="77"/>
      <c r="AV41" s="107"/>
      <c r="AW41" s="107"/>
      <c r="AX41" s="107"/>
    </row>
    <row r="42" spans="1:50">
      <c r="A42" s="126" t="s">
        <v>137</v>
      </c>
      <c r="B42" s="126"/>
      <c r="C42" s="126"/>
      <c r="D42" s="126"/>
      <c r="E42" s="126"/>
      <c r="F42" s="10">
        <v>46190</v>
      </c>
      <c r="G42" s="3"/>
      <c r="H42" s="77"/>
      <c r="I42" s="77"/>
      <c r="J42" s="126" t="s">
        <v>138</v>
      </c>
      <c r="K42" s="126"/>
      <c r="L42" s="126"/>
      <c r="M42" s="126"/>
      <c r="N42" s="126"/>
      <c r="O42" s="10">
        <v>46196</v>
      </c>
      <c r="P42" s="3"/>
      <c r="Q42" s="77"/>
      <c r="R42" s="77"/>
      <c r="S42" s="126" t="s">
        <v>139</v>
      </c>
      <c r="T42" s="126"/>
      <c r="U42" s="126"/>
      <c r="V42" s="126"/>
      <c r="W42" s="126"/>
      <c r="X42" s="10">
        <v>46200</v>
      </c>
      <c r="Y42" s="77"/>
      <c r="Z42" s="77"/>
      <c r="AA42" s="77"/>
      <c r="AB42" s="40">
        <v>5</v>
      </c>
      <c r="AC42" s="75" t="str">
        <f t="shared" si="156"/>
        <v>Senegal</v>
      </c>
      <c r="AD42" s="110">
        <f t="shared" si="157"/>
        <v>3</v>
      </c>
      <c r="AE42" s="110">
        <f t="shared" si="158"/>
        <v>0</v>
      </c>
      <c r="AF42" s="110">
        <f t="shared" si="159"/>
        <v>5</v>
      </c>
      <c r="AG42" s="12" t="str">
        <f t="shared" si="160"/>
        <v>I</v>
      </c>
      <c r="AI42" s="77"/>
      <c r="AJ42" s="107"/>
      <c r="AK42" s="107"/>
      <c r="AL42" s="107"/>
      <c r="AM42" s="107"/>
      <c r="AO42" s="77"/>
      <c r="AP42" s="107"/>
      <c r="AQ42" s="107"/>
      <c r="AR42" s="107"/>
      <c r="AS42" s="107"/>
      <c r="AU42" s="77"/>
      <c r="AV42" s="107"/>
      <c r="AW42" s="107"/>
      <c r="AX42" s="107"/>
    </row>
    <row r="43" spans="1:50">
      <c r="A43" s="56" t="s">
        <v>140</v>
      </c>
      <c r="B43" s="107">
        <v>3</v>
      </c>
      <c r="C43" s="108" t="s">
        <v>12</v>
      </c>
      <c r="D43" s="107">
        <v>0</v>
      </c>
      <c r="E43" s="37" t="s">
        <v>141</v>
      </c>
      <c r="F43" s="8" t="s">
        <v>69</v>
      </c>
      <c r="G43" s="5">
        <f t="shared" ref="G43" si="167">IF(B43="", 0, IF(B43&gt;D43, 3, IF(B43=D43, 1, 0)))</f>
        <v>3</v>
      </c>
      <c r="H43" s="77">
        <f t="shared" ref="H43" si="168">IF(D43="", 0, IF(D43&gt;B43, 3, IF(D43=B43, 1, 0)))</f>
        <v>0</v>
      </c>
      <c r="I43" s="77"/>
      <c r="J43" s="56" t="s">
        <v>140</v>
      </c>
      <c r="K43" s="107">
        <v>1</v>
      </c>
      <c r="L43" s="108" t="s">
        <v>12</v>
      </c>
      <c r="M43" s="107">
        <v>0</v>
      </c>
      <c r="N43" s="37" t="s">
        <v>142</v>
      </c>
      <c r="O43" s="8" t="s">
        <v>69</v>
      </c>
      <c r="P43" s="4">
        <f t="shared" ref="P43" si="169">IF(K43="", 0, IF(K43&gt;M43, 3, IF(K43=M43, 1, 0)))</f>
        <v>3</v>
      </c>
      <c r="Q43" s="77">
        <f t="shared" ref="Q43" si="170">IF(M43="", 0, IF(M43&gt;K43, 3, IF(M43=K43, 1, 0)))</f>
        <v>0</v>
      </c>
      <c r="R43" s="77"/>
      <c r="S43" s="56" t="s">
        <v>143</v>
      </c>
      <c r="T43" s="107">
        <v>0</v>
      </c>
      <c r="U43" s="108" t="s">
        <v>12</v>
      </c>
      <c r="V43" s="107">
        <v>2</v>
      </c>
      <c r="W43" s="37" t="s">
        <v>140</v>
      </c>
      <c r="X43" s="8" t="s">
        <v>144</v>
      </c>
      <c r="Y43" s="77">
        <f t="shared" ref="Y43" si="171">IF(T43="", 0, IF(T43&gt;V43, 3, IF(T43=V43, 1, 0)))</f>
        <v>0</v>
      </c>
      <c r="Z43" s="77">
        <f t="shared" ref="Z43" si="172">IF(V43="", 0, IF(V43&gt;T43, 3, IF(V43=T43, 1, 0)))</f>
        <v>3</v>
      </c>
      <c r="AA43" s="77"/>
      <c r="AB43" s="40">
        <v>6</v>
      </c>
      <c r="AC43" s="75" t="str">
        <f t="shared" si="156"/>
        <v>Escócia</v>
      </c>
      <c r="AD43" s="110">
        <f t="shared" si="157"/>
        <v>3</v>
      </c>
      <c r="AE43" s="110">
        <f t="shared" si="158"/>
        <v>0</v>
      </c>
      <c r="AF43" s="110">
        <f t="shared" si="159"/>
        <v>4</v>
      </c>
      <c r="AG43" s="12" t="str">
        <f t="shared" si="160"/>
        <v>C</v>
      </c>
      <c r="AI43" s="77"/>
      <c r="AJ43" s="107"/>
      <c r="AK43" s="107"/>
      <c r="AL43" s="107"/>
      <c r="AM43" s="107"/>
      <c r="AO43" s="77"/>
      <c r="AP43" s="107"/>
      <c r="AQ43" s="107"/>
      <c r="AR43" s="107"/>
      <c r="AS43" s="107"/>
      <c r="AU43" s="77"/>
      <c r="AV43" s="107"/>
      <c r="AW43" s="107"/>
      <c r="AX43" s="107"/>
    </row>
    <row r="44" spans="1:50">
      <c r="A44" s="125" t="s">
        <v>145</v>
      </c>
      <c r="B44" s="125"/>
      <c r="C44" s="125"/>
      <c r="D44" s="125"/>
      <c r="E44" s="125"/>
      <c r="F44" s="10">
        <v>46190</v>
      </c>
      <c r="G44" s="3"/>
      <c r="H44" s="77"/>
      <c r="I44" s="77"/>
      <c r="J44" s="125" t="s">
        <v>146</v>
      </c>
      <c r="K44" s="125"/>
      <c r="L44" s="125"/>
      <c r="M44" s="125"/>
      <c r="N44" s="125"/>
      <c r="O44" s="10">
        <v>46196</v>
      </c>
      <c r="P44" s="3"/>
      <c r="Q44" s="77"/>
      <c r="R44" s="77"/>
      <c r="S44" s="126" t="s">
        <v>147</v>
      </c>
      <c r="T44" s="126"/>
      <c r="U44" s="126"/>
      <c r="V44" s="126"/>
      <c r="W44" s="126"/>
      <c r="X44" s="10">
        <v>46200</v>
      </c>
      <c r="Y44" s="77"/>
      <c r="Z44" s="77"/>
      <c r="AA44" s="77"/>
      <c r="AB44" s="40">
        <v>7</v>
      </c>
      <c r="AC44" s="75" t="str">
        <f t="shared" si="156"/>
        <v>Bósnia e H.</v>
      </c>
      <c r="AD44" s="110">
        <f t="shared" si="157"/>
        <v>3</v>
      </c>
      <c r="AE44" s="110">
        <f t="shared" si="158"/>
        <v>-2</v>
      </c>
      <c r="AF44" s="110">
        <f t="shared" si="159"/>
        <v>1</v>
      </c>
      <c r="AG44" s="12" t="str">
        <f t="shared" si="160"/>
        <v>B</v>
      </c>
      <c r="AI44" s="77"/>
      <c r="AJ44" s="107"/>
      <c r="AK44" s="107"/>
      <c r="AL44" s="107"/>
      <c r="AM44" s="107"/>
      <c r="AO44" s="77"/>
      <c r="AP44" s="107"/>
      <c r="AQ44" s="107"/>
      <c r="AR44" s="107"/>
      <c r="AS44" s="107"/>
      <c r="AU44" s="77"/>
      <c r="AV44" s="107"/>
      <c r="AW44" s="107"/>
      <c r="AX44" s="107"/>
    </row>
    <row r="45" spans="1:50">
      <c r="A45" s="59" t="s">
        <v>130</v>
      </c>
      <c r="B45" s="107">
        <v>2</v>
      </c>
      <c r="C45" s="106" t="s">
        <v>12</v>
      </c>
      <c r="D45" s="107">
        <v>0</v>
      </c>
      <c r="E45" s="33" t="s">
        <v>135</v>
      </c>
      <c r="F45" s="8" t="s">
        <v>57</v>
      </c>
      <c r="G45" s="5">
        <f t="shared" ref="G45" si="173">IF(B45="", 0, IF(B45&gt;D45, 3, IF(B45=D45, 1, 0)))</f>
        <v>3</v>
      </c>
      <c r="H45" s="77">
        <f t="shared" ref="H45" si="174">IF(D45="", 0, IF(D45&gt;B45, 3, IF(D45=B45, 1, 0)))</f>
        <v>0</v>
      </c>
      <c r="I45" s="77"/>
      <c r="J45" s="59" t="s">
        <v>130</v>
      </c>
      <c r="K45" s="107">
        <v>3</v>
      </c>
      <c r="L45" s="106" t="s">
        <v>12</v>
      </c>
      <c r="M45" s="107">
        <v>0</v>
      </c>
      <c r="N45" s="33" t="s">
        <v>136</v>
      </c>
      <c r="O45" s="8" t="s">
        <v>57</v>
      </c>
      <c r="P45" s="4">
        <f t="shared" ref="P45" si="175">IF(K45="", 0, IF(K45&gt;M45, 3, IF(K45=M45, 1, 0)))</f>
        <v>3</v>
      </c>
      <c r="Q45" s="77">
        <f t="shared" ref="Q45" si="176">IF(M45="", 0, IF(M45&gt;K45, 3, IF(M45=K45, 1, 0)))</f>
        <v>0</v>
      </c>
      <c r="R45" s="77"/>
      <c r="S45" s="56" t="s">
        <v>141</v>
      </c>
      <c r="T45" s="107">
        <v>0</v>
      </c>
      <c r="U45" s="108" t="s">
        <v>12</v>
      </c>
      <c r="V45" s="107">
        <v>0</v>
      </c>
      <c r="W45" s="37" t="s">
        <v>142</v>
      </c>
      <c r="X45" s="8" t="s">
        <v>144</v>
      </c>
      <c r="Y45" s="77">
        <f t="shared" ref="Y45" si="177">IF(T45="", 0, IF(T45&gt;V45, 3, IF(T45=V45, 1, 0)))</f>
        <v>1</v>
      </c>
      <c r="Z45" s="77">
        <f t="shared" ref="Z45" si="178">IF(V45="", 0, IF(V45&gt;T45, 3, IF(V45=T45, 1, 0)))</f>
        <v>1</v>
      </c>
      <c r="AA45" s="77"/>
      <c r="AB45" s="40">
        <v>8</v>
      </c>
      <c r="AC45" s="75" t="str">
        <f t="shared" si="156"/>
        <v>Arábia Saudita</v>
      </c>
      <c r="AD45" s="110">
        <f t="shared" si="157"/>
        <v>3</v>
      </c>
      <c r="AE45" s="110">
        <f t="shared" si="158"/>
        <v>-2</v>
      </c>
      <c r="AF45" s="110">
        <f t="shared" si="159"/>
        <v>1</v>
      </c>
      <c r="AG45" s="12" t="str">
        <f t="shared" si="160"/>
        <v>H</v>
      </c>
      <c r="AI45" s="77"/>
      <c r="AJ45" s="107"/>
      <c r="AK45" s="107"/>
      <c r="AL45" s="107"/>
      <c r="AM45" s="107"/>
      <c r="AO45" s="77"/>
      <c r="AP45" s="107"/>
      <c r="AQ45" s="107"/>
      <c r="AR45" s="107"/>
      <c r="AS45" s="107"/>
      <c r="AU45" s="77"/>
      <c r="AV45" s="107"/>
      <c r="AW45" s="107"/>
      <c r="AX45" s="107"/>
    </row>
    <row r="46" spans="1:50">
      <c r="A46" s="125" t="s">
        <v>148</v>
      </c>
      <c r="B46" s="125"/>
      <c r="C46" s="125"/>
      <c r="D46" s="125"/>
      <c r="E46" s="125"/>
      <c r="F46" s="10">
        <v>46190</v>
      </c>
      <c r="G46" s="3"/>
      <c r="H46" s="77"/>
      <c r="I46" s="77"/>
      <c r="J46" s="125" t="s">
        <v>149</v>
      </c>
      <c r="K46" s="125"/>
      <c r="L46" s="125"/>
      <c r="M46" s="125"/>
      <c r="N46" s="125"/>
      <c r="O46" s="10">
        <v>46196</v>
      </c>
      <c r="P46" s="3"/>
      <c r="Q46" s="77"/>
      <c r="R46" s="77"/>
      <c r="S46" s="121" t="s">
        <v>150</v>
      </c>
      <c r="T46" s="121"/>
      <c r="U46" s="121"/>
      <c r="V46" s="121"/>
      <c r="W46" s="121"/>
      <c r="X46" s="10">
        <v>46200</v>
      </c>
      <c r="Y46" s="77"/>
      <c r="Z46" s="77"/>
      <c r="AA46" s="77"/>
      <c r="AB46" s="63">
        <v>9</v>
      </c>
      <c r="AC46" s="34" t="str">
        <f t="shared" si="156"/>
        <v>Gana</v>
      </c>
      <c r="AD46" s="96">
        <f t="shared" si="157"/>
        <v>3</v>
      </c>
      <c r="AE46" s="96">
        <f t="shared" si="158"/>
        <v>-3</v>
      </c>
      <c r="AF46" s="96">
        <f t="shared" si="159"/>
        <v>2</v>
      </c>
      <c r="AG46" s="12" t="str">
        <f t="shared" si="160"/>
        <v>L</v>
      </c>
      <c r="AI46" s="77"/>
      <c r="AJ46" s="107"/>
      <c r="AK46" s="107"/>
      <c r="AL46" s="107"/>
      <c r="AM46" s="107"/>
      <c r="AO46" s="77"/>
      <c r="AP46" s="107"/>
      <c r="AQ46" s="107"/>
      <c r="AR46" s="107"/>
      <c r="AS46" s="107"/>
      <c r="AU46" s="77"/>
      <c r="AV46" s="107"/>
      <c r="AW46" s="107"/>
      <c r="AX46" s="107"/>
    </row>
    <row r="47" spans="1:50">
      <c r="A47" s="59" t="s">
        <v>136</v>
      </c>
      <c r="B47" s="107">
        <v>2</v>
      </c>
      <c r="C47" s="106" t="s">
        <v>12</v>
      </c>
      <c r="D47" s="107">
        <v>1</v>
      </c>
      <c r="E47" s="33" t="s">
        <v>129</v>
      </c>
      <c r="F47" s="8" t="s">
        <v>73</v>
      </c>
      <c r="G47" s="5">
        <f t="shared" ref="G47" si="179">IF(B47="", 0, IF(B47&gt;D47, 3, IF(B47=D47, 1, 0)))</f>
        <v>3</v>
      </c>
      <c r="H47" s="77">
        <f t="shared" ref="H47" si="180">IF(D47="", 0, IF(D47&gt;B47, 3, IF(D47=B47, 1, 0)))</f>
        <v>0</v>
      </c>
      <c r="I47" s="77"/>
      <c r="J47" s="59" t="s">
        <v>129</v>
      </c>
      <c r="K47" s="107">
        <v>0</v>
      </c>
      <c r="L47" s="106" t="s">
        <v>12</v>
      </c>
      <c r="M47" s="107">
        <v>1</v>
      </c>
      <c r="N47" s="33" t="s">
        <v>135</v>
      </c>
      <c r="O47" s="8" t="s">
        <v>73</v>
      </c>
      <c r="P47" s="4">
        <f t="shared" ref="P47" si="181">IF(K47="", 0, IF(K47&gt;M47, 3, IF(K47=M47, 1, 0)))</f>
        <v>0</v>
      </c>
      <c r="Q47" s="77">
        <f t="shared" ref="Q47" si="182">IF(M47="", 0, IF(M47&gt;K47, 3, IF(M47=K47, 1, 0)))</f>
        <v>3</v>
      </c>
      <c r="R47" s="77"/>
      <c r="S47" s="60" t="s">
        <v>128</v>
      </c>
      <c r="T47" s="107">
        <v>2</v>
      </c>
      <c r="U47" s="116" t="s">
        <v>12</v>
      </c>
      <c r="V47" s="107">
        <v>0</v>
      </c>
      <c r="W47" s="35" t="s">
        <v>119</v>
      </c>
      <c r="X47" s="8" t="s">
        <v>23</v>
      </c>
      <c r="Y47" s="77">
        <f t="shared" ref="Y47" si="183">IF(T47="", 0, IF(T47&gt;V47, 3, IF(T47=V47, 1, 0)))</f>
        <v>3</v>
      </c>
      <c r="Z47" s="77">
        <f t="shared" ref="Z47" si="184">IF(V47="", 0, IF(V47&gt;T47, 3, IF(V47=T47, 1, 0)))</f>
        <v>0</v>
      </c>
      <c r="AA47" s="77"/>
      <c r="AB47" s="63">
        <v>10</v>
      </c>
      <c r="AC47" s="34" t="str">
        <f t="shared" si="156"/>
        <v>Nova Zelândia</v>
      </c>
      <c r="AD47" s="96">
        <f t="shared" si="157"/>
        <v>2</v>
      </c>
      <c r="AE47" s="96">
        <f t="shared" si="158"/>
        <v>-2</v>
      </c>
      <c r="AF47" s="96">
        <f t="shared" si="159"/>
        <v>2</v>
      </c>
      <c r="AG47" s="12" t="str">
        <f t="shared" si="160"/>
        <v>G</v>
      </c>
      <c r="AI47" s="77"/>
      <c r="AJ47" s="107"/>
      <c r="AK47" s="107"/>
      <c r="AL47" s="107"/>
      <c r="AM47" s="107"/>
      <c r="AO47" s="77"/>
      <c r="AP47" s="107"/>
      <c r="AQ47" s="107"/>
      <c r="AR47" s="107"/>
      <c r="AS47" s="107"/>
      <c r="AU47" s="77"/>
      <c r="AV47" s="107"/>
      <c r="AW47" s="107"/>
      <c r="AX47" s="107"/>
    </row>
    <row r="48" spans="1:50">
      <c r="A48" s="126" t="s">
        <v>151</v>
      </c>
      <c r="B48" s="126"/>
      <c r="C48" s="126"/>
      <c r="D48" s="126"/>
      <c r="E48" s="126"/>
      <c r="F48" s="10">
        <v>46190</v>
      </c>
      <c r="G48" s="3"/>
      <c r="H48" s="77"/>
      <c r="I48" s="77"/>
      <c r="J48" s="126" t="s">
        <v>152</v>
      </c>
      <c r="K48" s="126"/>
      <c r="L48" s="126"/>
      <c r="M48" s="126"/>
      <c r="N48" s="126"/>
      <c r="O48" s="10">
        <v>46196</v>
      </c>
      <c r="P48" s="3"/>
      <c r="Q48" s="77"/>
      <c r="R48" s="77"/>
      <c r="S48" s="121" t="s">
        <v>153</v>
      </c>
      <c r="T48" s="121"/>
      <c r="U48" s="121"/>
      <c r="V48" s="121"/>
      <c r="W48" s="121"/>
      <c r="X48" s="10">
        <v>46200</v>
      </c>
      <c r="Y48" s="77"/>
      <c r="Z48" s="77"/>
      <c r="AA48" s="77"/>
      <c r="AB48" s="63">
        <v>11</v>
      </c>
      <c r="AC48" s="34" t="str">
        <f t="shared" si="156"/>
        <v>Uzbequistão</v>
      </c>
      <c r="AD48" s="96">
        <f t="shared" si="157"/>
        <v>1</v>
      </c>
      <c r="AE48" s="96">
        <f t="shared" si="158"/>
        <v>-3</v>
      </c>
      <c r="AF48" s="96">
        <f t="shared" si="159"/>
        <v>0</v>
      </c>
      <c r="AG48" s="12" t="str">
        <f t="shared" si="160"/>
        <v>K</v>
      </c>
      <c r="AI48" s="77"/>
      <c r="AJ48" s="107"/>
      <c r="AK48" s="107"/>
      <c r="AL48" s="107"/>
      <c r="AM48" s="107"/>
      <c r="AO48" s="77"/>
      <c r="AP48" s="107"/>
      <c r="AQ48" s="107"/>
      <c r="AR48" s="107"/>
      <c r="AS48" s="107"/>
      <c r="AU48" s="77"/>
      <c r="AV48" s="107"/>
      <c r="AW48" s="107"/>
      <c r="AX48" s="107"/>
    </row>
    <row r="49" spans="1:50">
      <c r="A49" s="56" t="s">
        <v>142</v>
      </c>
      <c r="B49" s="107">
        <v>0</v>
      </c>
      <c r="C49" s="108" t="s">
        <v>12</v>
      </c>
      <c r="D49" s="107">
        <v>2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7">
        <v>2</v>
      </c>
      <c r="L49" s="108" t="s">
        <v>12</v>
      </c>
      <c r="M49" s="107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7">
        <v>0</v>
      </c>
      <c r="U49" s="116" t="s">
        <v>12</v>
      </c>
      <c r="V49" s="107">
        <v>4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Jordânia</v>
      </c>
      <c r="AD49" s="96">
        <f t="shared" si="157"/>
        <v>1</v>
      </c>
      <c r="AE49" s="96">
        <f t="shared" si="158"/>
        <v>-5</v>
      </c>
      <c r="AF49" s="96">
        <f t="shared" si="159"/>
        <v>0</v>
      </c>
      <c r="AG49" s="12" t="str">
        <f t="shared" si="160"/>
        <v>J</v>
      </c>
      <c r="AI49" s="77"/>
      <c r="AJ49" s="107"/>
      <c r="AK49" s="107"/>
      <c r="AL49" s="107"/>
      <c r="AM49" s="107"/>
      <c r="AO49" s="77"/>
      <c r="AP49" s="107"/>
      <c r="AQ49" s="107"/>
      <c r="AR49" s="107"/>
      <c r="AS49" s="107"/>
      <c r="AU49" s="77"/>
      <c r="AV49" s="107"/>
      <c r="AW49" s="107"/>
      <c r="AX49" s="107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7"/>
      <c r="AE50" s="107"/>
      <c r="AF50" s="107"/>
      <c r="AG50" s="77"/>
      <c r="AI50" s="77"/>
      <c r="AJ50" s="107"/>
      <c r="AK50" s="107"/>
      <c r="AL50" s="107"/>
      <c r="AM50" s="107"/>
      <c r="AO50" s="77"/>
      <c r="AP50" s="107"/>
      <c r="AQ50" s="107"/>
      <c r="AR50" s="107"/>
      <c r="AS50" s="107"/>
      <c r="AU50" s="77"/>
      <c r="AV50" s="107"/>
      <c r="AW50" s="107"/>
      <c r="AX50" s="107"/>
    </row>
    <row r="51" spans="1:50">
      <c r="E51" s="77"/>
      <c r="H51" s="77"/>
      <c r="I51" s="77"/>
      <c r="M51" s="77"/>
      <c r="N51" s="77"/>
      <c r="P51" s="77"/>
      <c r="Q51" s="77"/>
      <c r="R51" s="77"/>
      <c r="S51" s="123"/>
      <c r="T51" s="123"/>
      <c r="U51" s="123"/>
      <c r="V51" s="123"/>
      <c r="W51" s="123"/>
      <c r="Y51" s="77"/>
      <c r="Z51" s="77"/>
      <c r="AA51" s="77"/>
      <c r="AC51" s="77"/>
      <c r="AD51" s="107"/>
      <c r="AE51" s="107"/>
      <c r="AF51" s="107"/>
      <c r="AG51" s="77"/>
      <c r="AI51" s="77"/>
      <c r="AJ51" s="107"/>
      <c r="AK51" s="107"/>
      <c r="AL51" s="107"/>
      <c r="AM51" s="107"/>
      <c r="AO51" s="77"/>
      <c r="AP51" s="107"/>
      <c r="AQ51" s="107"/>
      <c r="AR51" s="107"/>
      <c r="AS51" s="107"/>
      <c r="AU51" s="77"/>
      <c r="AV51" s="107"/>
      <c r="AW51" s="107"/>
      <c r="AX51" s="107"/>
    </row>
    <row r="52" spans="1:50">
      <c r="A52" s="128" t="s">
        <v>154</v>
      </c>
      <c r="B52" s="128"/>
      <c r="C52" s="128"/>
      <c r="D52" s="128"/>
      <c r="E52" s="128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7"/>
      <c r="AE52" s="107"/>
      <c r="AF52" s="107"/>
      <c r="AG52" s="77"/>
      <c r="AI52" s="77"/>
      <c r="AJ52" s="107"/>
      <c r="AK52" s="107"/>
      <c r="AL52" s="107"/>
      <c r="AM52" s="107"/>
      <c r="AO52" s="77"/>
      <c r="AP52" s="107"/>
      <c r="AQ52" s="107"/>
      <c r="AR52" s="107"/>
      <c r="AS52" s="107"/>
      <c r="AU52" s="77"/>
      <c r="AV52" s="107"/>
      <c r="AW52" s="107"/>
      <c r="AX52" s="107"/>
    </row>
    <row r="53" spans="1:50">
      <c r="A53" s="122" t="s">
        <v>155</v>
      </c>
      <c r="B53" s="122"/>
      <c r="C53" s="122"/>
      <c r="D53" s="122"/>
      <c r="E53" s="122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7"/>
      <c r="AE53" s="107"/>
      <c r="AF53" s="107"/>
      <c r="AG53" s="77"/>
      <c r="AI53" s="77"/>
      <c r="AJ53" s="107"/>
      <c r="AK53" s="107"/>
      <c r="AL53" s="107"/>
      <c r="AM53" s="107"/>
      <c r="AO53" s="77"/>
      <c r="AP53" s="107"/>
      <c r="AQ53" s="107"/>
      <c r="AR53" s="107"/>
      <c r="AS53" s="107"/>
      <c r="AU53" s="77"/>
      <c r="AV53" s="107"/>
      <c r="AW53" s="107"/>
      <c r="AX53" s="107"/>
    </row>
    <row r="54" spans="1:50">
      <c r="A54" s="80" t="str">
        <f>AC3</f>
        <v>México</v>
      </c>
      <c r="B54" s="2">
        <v>0</v>
      </c>
      <c r="C54" s="105" t="s">
        <v>12</v>
      </c>
      <c r="D54" s="4">
        <v>2</v>
      </c>
      <c r="E54" s="83" t="str">
        <f>AI3</f>
        <v>Suíça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7"/>
      <c r="AE54" s="107"/>
      <c r="AF54" s="107"/>
      <c r="AG54" s="77"/>
      <c r="AI54" s="77"/>
      <c r="AJ54" s="107"/>
      <c r="AK54" s="107"/>
      <c r="AL54" s="107"/>
      <c r="AM54" s="107"/>
      <c r="AO54" s="77"/>
      <c r="AP54" s="107"/>
      <c r="AQ54" s="107"/>
      <c r="AR54" s="107"/>
      <c r="AS54" s="107"/>
      <c r="AU54" s="77"/>
      <c r="AV54" s="107"/>
      <c r="AW54" s="107"/>
      <c r="AX54" s="107"/>
    </row>
    <row r="55" spans="1:50">
      <c r="A55" s="81" t="s">
        <v>156</v>
      </c>
      <c r="C55" s="105" t="s">
        <v>157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7"/>
      <c r="AE55" s="107"/>
      <c r="AF55" s="107"/>
      <c r="AG55" s="77"/>
      <c r="AI55" s="77"/>
      <c r="AJ55" s="107"/>
      <c r="AK55" s="107"/>
      <c r="AL55" s="107"/>
      <c r="AM55" s="107"/>
      <c r="AO55" s="77"/>
      <c r="AP55" s="107"/>
      <c r="AQ55" s="107"/>
      <c r="AR55" s="107"/>
      <c r="AS55" s="107"/>
      <c r="AU55" s="77"/>
      <c r="AV55" s="107"/>
      <c r="AW55" s="107"/>
      <c r="AX55" s="107"/>
    </row>
    <row r="56" spans="1:50">
      <c r="A56" s="122" t="s">
        <v>158</v>
      </c>
      <c r="B56" s="122"/>
      <c r="C56" s="122"/>
      <c r="D56" s="122"/>
      <c r="E56" s="122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7"/>
      <c r="AE56" s="107"/>
      <c r="AF56" s="107"/>
      <c r="AG56" s="77"/>
      <c r="AI56" s="77"/>
      <c r="AJ56" s="107"/>
      <c r="AK56" s="107"/>
      <c r="AL56" s="107"/>
      <c r="AM56" s="107"/>
      <c r="AO56" s="77"/>
      <c r="AP56" s="107"/>
      <c r="AQ56" s="107"/>
      <c r="AR56" s="107"/>
      <c r="AS56" s="107"/>
      <c r="AU56" s="77"/>
      <c r="AV56" s="107"/>
      <c r="AW56" s="107"/>
      <c r="AX56" s="107"/>
    </row>
    <row r="57" spans="1:50">
      <c r="A57" s="80" t="str">
        <f>AC14</f>
        <v>Equador</v>
      </c>
      <c r="B57" s="2">
        <v>2</v>
      </c>
      <c r="C57" s="105" t="s">
        <v>12</v>
      </c>
      <c r="D57" s="4">
        <v>1</v>
      </c>
      <c r="E57" s="84" t="str">
        <f>INDEX($AC$38:$AC$49, MATCH( RIGHT(INDEX(Matriz!E:E, MATCH(BI1, Matriz!J:J, 0)), 1), $AG$38:$AG$49, 0))</f>
        <v>Escócia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7"/>
      <c r="AE57" s="107"/>
      <c r="AF57" s="107"/>
      <c r="AG57" s="77"/>
      <c r="AI57" s="77"/>
      <c r="AJ57" s="107"/>
      <c r="AK57" s="107"/>
      <c r="AL57" s="107"/>
      <c r="AM57" s="107"/>
      <c r="AO57" s="77"/>
      <c r="AP57" s="107"/>
      <c r="AQ57" s="107"/>
      <c r="AR57" s="107"/>
      <c r="AS57" s="107"/>
      <c r="AU57" s="77"/>
      <c r="AV57" s="107"/>
      <c r="AW57" s="107"/>
      <c r="AX57" s="107"/>
    </row>
    <row r="58" spans="1:50">
      <c r="A58" s="81" t="s">
        <v>156</v>
      </c>
      <c r="C58" s="105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7"/>
      <c r="AE58" s="107"/>
      <c r="AF58" s="107"/>
      <c r="AG58" s="77"/>
      <c r="AI58" s="77"/>
      <c r="AJ58" s="107"/>
      <c r="AK58" s="107"/>
      <c r="AL58" s="107"/>
      <c r="AM58" s="107"/>
      <c r="AO58" s="77"/>
      <c r="AP58" s="107"/>
      <c r="AQ58" s="107"/>
      <c r="AR58" s="107"/>
      <c r="AS58" s="107"/>
      <c r="AU58" s="77"/>
      <c r="AV58" s="107"/>
      <c r="AW58" s="107"/>
      <c r="AX58" s="107"/>
    </row>
    <row r="59" spans="1:50">
      <c r="A59" s="122" t="s">
        <v>160</v>
      </c>
      <c r="B59" s="122"/>
      <c r="C59" s="122"/>
      <c r="D59" s="122"/>
      <c r="E59" s="122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7"/>
      <c r="AE59" s="107"/>
      <c r="AF59" s="107"/>
      <c r="AG59" s="77"/>
      <c r="AI59" s="77"/>
      <c r="AJ59" s="107"/>
      <c r="AK59" s="107"/>
      <c r="AL59" s="107"/>
      <c r="AM59" s="107"/>
      <c r="AO59" s="77"/>
      <c r="AP59" s="107"/>
      <c r="AQ59" s="107"/>
      <c r="AR59" s="107"/>
      <c r="AS59" s="107"/>
      <c r="AU59" s="77"/>
      <c r="AV59" s="107"/>
      <c r="AW59" s="107"/>
      <c r="AX59" s="107"/>
    </row>
    <row r="60" spans="1:50">
      <c r="A60" s="80" t="str">
        <f>AI14</f>
        <v>Holanda</v>
      </c>
      <c r="B60" s="2">
        <v>1</v>
      </c>
      <c r="C60" s="105" t="s">
        <v>12</v>
      </c>
      <c r="D60" s="4">
        <v>1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7"/>
      <c r="AE60" s="107"/>
      <c r="AF60" s="107"/>
      <c r="AG60" s="77"/>
      <c r="AI60" s="77"/>
      <c r="AJ60" s="107"/>
      <c r="AK60" s="107"/>
      <c r="AL60" s="107"/>
      <c r="AM60" s="107"/>
      <c r="AO60" s="77"/>
      <c r="AP60" s="107"/>
      <c r="AQ60" s="107"/>
      <c r="AR60" s="107"/>
      <c r="AS60" s="107"/>
      <c r="AU60" s="77"/>
      <c r="AV60" s="107"/>
      <c r="AW60" s="107"/>
      <c r="AX60" s="107"/>
    </row>
    <row r="61" spans="1:50">
      <c r="A61" s="81" t="s">
        <v>156</v>
      </c>
      <c r="B61" s="2">
        <v>3</v>
      </c>
      <c r="C61" s="105" t="s">
        <v>157</v>
      </c>
      <c r="D61" s="4">
        <v>4</v>
      </c>
      <c r="E61" s="83"/>
      <c r="H61" s="77"/>
      <c r="I61" s="77"/>
      <c r="J61" s="128" t="s">
        <v>161</v>
      </c>
      <c r="K61" s="128"/>
      <c r="L61" s="128"/>
      <c r="M61" s="128"/>
      <c r="N61" s="128"/>
      <c r="P61" s="77"/>
      <c r="Q61" s="77"/>
      <c r="R61" s="77"/>
      <c r="W61" s="77"/>
      <c r="Y61" s="77"/>
      <c r="Z61" s="77"/>
      <c r="AA61" s="77"/>
      <c r="AC61" s="77"/>
      <c r="AD61" s="107"/>
      <c r="AE61" s="107"/>
      <c r="AF61" s="107"/>
      <c r="AG61" s="77"/>
      <c r="AI61" s="77"/>
      <c r="AJ61" s="107"/>
      <c r="AK61" s="107"/>
      <c r="AL61" s="107"/>
      <c r="AM61" s="107"/>
      <c r="AO61" s="77"/>
      <c r="AP61" s="107"/>
      <c r="AQ61" s="107"/>
      <c r="AR61" s="107"/>
      <c r="AS61" s="107"/>
      <c r="AU61" s="77"/>
      <c r="AV61" s="107"/>
      <c r="AW61" s="107"/>
      <c r="AX61" s="107"/>
    </row>
    <row r="62" spans="1:50">
      <c r="A62" s="122" t="s">
        <v>162</v>
      </c>
      <c r="B62" s="122"/>
      <c r="C62" s="122"/>
      <c r="D62" s="122"/>
      <c r="E62" s="122"/>
      <c r="F62" s="10">
        <v>46202</v>
      </c>
      <c r="H62" s="77"/>
      <c r="I62" s="77"/>
      <c r="J62" s="122" t="s">
        <v>163</v>
      </c>
      <c r="K62" s="122"/>
      <c r="L62" s="122"/>
      <c r="M62" s="122"/>
      <c r="N62" s="122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7"/>
      <c r="AE62" s="107"/>
      <c r="AF62" s="107"/>
      <c r="AG62" s="77"/>
      <c r="AI62" s="77"/>
      <c r="AJ62" s="107"/>
      <c r="AK62" s="107"/>
      <c r="AL62" s="107"/>
      <c r="AM62" s="107"/>
      <c r="AO62" s="77"/>
      <c r="AP62" s="107"/>
      <c r="AQ62" s="107"/>
      <c r="AR62" s="107"/>
      <c r="AS62" s="107"/>
      <c r="AU62" s="77"/>
      <c r="AV62" s="107"/>
      <c r="AW62" s="107"/>
      <c r="AX62" s="107"/>
    </row>
    <row r="63" spans="1:50">
      <c r="A63" s="80" t="str">
        <f>AC8</f>
        <v>Brasil</v>
      </c>
      <c r="B63" s="2">
        <v>2</v>
      </c>
      <c r="C63" s="105" t="s">
        <v>12</v>
      </c>
      <c r="D63" s="4">
        <v>0</v>
      </c>
      <c r="E63" s="83" t="str">
        <f>AI15</f>
        <v>Japão</v>
      </c>
      <c r="F63" s="8" t="s">
        <v>69</v>
      </c>
      <c r="H63" s="77"/>
      <c r="I63" s="77"/>
      <c r="J63" s="80" t="str">
        <f>IF(B57 = "", "", IF(B57 &gt; D57, A57, IF(D57 &gt; B57, E57, IF(D58 &gt; B58, E57, A57))))</f>
        <v>Equador</v>
      </c>
      <c r="K63" s="1">
        <v>0</v>
      </c>
      <c r="L63" s="105" t="s">
        <v>12</v>
      </c>
      <c r="M63" s="77">
        <v>2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7"/>
      <c r="AE63" s="107"/>
      <c r="AF63" s="107"/>
      <c r="AG63" s="77"/>
      <c r="AI63" s="77"/>
      <c r="AJ63" s="107"/>
      <c r="AK63" s="107"/>
      <c r="AL63" s="107"/>
      <c r="AM63" s="107"/>
      <c r="AO63" s="77"/>
      <c r="AP63" s="107"/>
      <c r="AQ63" s="107"/>
      <c r="AR63" s="107"/>
      <c r="AS63" s="107"/>
      <c r="AU63" s="77"/>
      <c r="AV63" s="107"/>
      <c r="AW63" s="107"/>
      <c r="AX63" s="107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L64" s="105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07"/>
      <c r="AE64" s="107"/>
      <c r="AF64" s="107"/>
      <c r="AG64" s="77"/>
      <c r="AI64" s="77"/>
      <c r="AJ64" s="107"/>
      <c r="AK64" s="107"/>
      <c r="AL64" s="107"/>
      <c r="AM64" s="107"/>
      <c r="AO64" s="77"/>
      <c r="AP64" s="107"/>
      <c r="AQ64" s="107"/>
      <c r="AR64" s="107"/>
      <c r="AS64" s="107"/>
      <c r="AU64" s="77"/>
      <c r="AV64" s="107"/>
      <c r="AW64" s="107"/>
      <c r="AX64" s="107"/>
    </row>
    <row r="65" spans="1:60">
      <c r="A65" s="122" t="s">
        <v>164</v>
      </c>
      <c r="B65" s="122"/>
      <c r="C65" s="122"/>
      <c r="D65" s="122"/>
      <c r="E65" s="122"/>
      <c r="F65" s="10">
        <v>46203</v>
      </c>
      <c r="H65" s="77"/>
      <c r="I65" s="77"/>
      <c r="J65" s="122" t="s">
        <v>165</v>
      </c>
      <c r="K65" s="122"/>
      <c r="L65" s="122"/>
      <c r="M65" s="122"/>
      <c r="N65" s="122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7"/>
      <c r="AE65" s="107"/>
      <c r="AF65" s="107"/>
      <c r="AG65" s="77"/>
      <c r="AI65" s="77"/>
      <c r="AJ65" s="107"/>
      <c r="AK65" s="107"/>
      <c r="AL65" s="107"/>
      <c r="AM65" s="107"/>
      <c r="AO65" s="77"/>
      <c r="AP65" s="107"/>
      <c r="AQ65" s="107"/>
      <c r="AR65" s="107"/>
      <c r="AS65" s="107"/>
      <c r="AU65" s="77"/>
      <c r="AV65" s="107"/>
      <c r="AW65" s="107"/>
      <c r="AX65" s="107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2</v>
      </c>
      <c r="C66" s="105" t="s">
        <v>12</v>
      </c>
      <c r="D66" s="4">
        <v>0</v>
      </c>
      <c r="E66" s="83" t="str">
        <f>INDEX($AC$38:$AC$49, MATCH( RIGHT(INDEX(Matriz!G:G, MATCH(BI1, Matriz!J:J, 0)), 1), $AG$38:$AG$49, 0))</f>
        <v>Suécia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Suíça</v>
      </c>
      <c r="K66" s="1">
        <v>1</v>
      </c>
      <c r="L66" s="105" t="s">
        <v>12</v>
      </c>
      <c r="M66" s="77">
        <v>1</v>
      </c>
      <c r="N66" s="83" t="str">
        <f>IF(B60 = "", "", IF(B60 &gt; D60, A60, IF(D60 &gt; B60, E60, IF(D61 &gt; B61, E60, A60))))</f>
        <v>Marrocos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7"/>
      <c r="AE66" s="107"/>
      <c r="AF66" s="107"/>
      <c r="AG66" s="77"/>
      <c r="AI66" s="77"/>
      <c r="AJ66" s="107"/>
      <c r="AK66" s="107"/>
      <c r="AL66" s="107"/>
      <c r="AM66" s="107"/>
      <c r="AO66" s="77"/>
      <c r="AP66" s="107"/>
      <c r="AQ66" s="107"/>
      <c r="AR66" s="107"/>
      <c r="AS66" s="107"/>
      <c r="AU66" s="77"/>
      <c r="AV66" s="107"/>
      <c r="AW66" s="107"/>
      <c r="AX66" s="107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K67" s="1">
        <v>4</v>
      </c>
      <c r="L67" s="105" t="s">
        <v>157</v>
      </c>
      <c r="M67" s="77">
        <v>5</v>
      </c>
      <c r="N67" s="83"/>
      <c r="P67" s="77"/>
      <c r="Q67" s="77"/>
      <c r="R67" s="77"/>
      <c r="W67" s="77"/>
      <c r="Y67" s="77"/>
      <c r="Z67" s="77"/>
      <c r="AA67" s="77"/>
      <c r="AC67" s="77"/>
      <c r="AD67" s="107"/>
      <c r="AE67" s="107"/>
      <c r="AF67" s="107"/>
      <c r="AG67" s="77"/>
      <c r="AI67" s="77"/>
      <c r="AJ67" s="107"/>
      <c r="AK67" s="107"/>
      <c r="AL67" s="107"/>
      <c r="AM67" s="107"/>
      <c r="AO67" s="77"/>
      <c r="AP67" s="107"/>
      <c r="AQ67" s="107"/>
      <c r="AR67" s="107"/>
      <c r="AS67" s="107"/>
      <c r="AU67" s="77"/>
      <c r="AV67" s="107"/>
      <c r="AW67" s="107"/>
      <c r="AX67" s="107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2" t="s">
        <v>166</v>
      </c>
      <c r="B68" s="122"/>
      <c r="C68" s="122"/>
      <c r="D68" s="122"/>
      <c r="E68" s="122"/>
      <c r="F68" s="10">
        <v>46203</v>
      </c>
      <c r="H68" s="77"/>
      <c r="I68" s="77"/>
      <c r="J68" s="122" t="s">
        <v>167</v>
      </c>
      <c r="K68" s="122"/>
      <c r="L68" s="122"/>
      <c r="M68" s="122"/>
      <c r="N68" s="122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7"/>
      <c r="AE68" s="107"/>
      <c r="AF68" s="107"/>
      <c r="AG68" s="77"/>
      <c r="AI68" s="77"/>
      <c r="AJ68" s="107"/>
      <c r="AK68" s="107"/>
      <c r="AL68" s="107"/>
      <c r="AM68" s="107"/>
      <c r="AO68" s="77"/>
      <c r="AP68" s="107"/>
      <c r="AQ68" s="107"/>
      <c r="AR68" s="107"/>
      <c r="AS68" s="107"/>
      <c r="AU68" s="77"/>
      <c r="AV68" s="107"/>
      <c r="AW68" s="107"/>
      <c r="AX68" s="107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Costa do Marfim</v>
      </c>
      <c r="B69" s="2">
        <v>0</v>
      </c>
      <c r="C69" s="105" t="s">
        <v>12</v>
      </c>
      <c r="D69" s="4">
        <v>1</v>
      </c>
      <c r="E69" s="83" t="str">
        <f>AC27</f>
        <v>Noruega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2</v>
      </c>
      <c r="L69" s="105" t="s">
        <v>12</v>
      </c>
      <c r="M69" s="77">
        <v>1</v>
      </c>
      <c r="N69" s="83" t="str">
        <f>IF(B69 = "", "", IF(B69 &gt; D69, A69, IF(D69 &gt; B69, E69, IF(D70 &gt; B70, E69, A69))))</f>
        <v>Noruega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7"/>
      <c r="AE69" s="107"/>
      <c r="AF69" s="107"/>
      <c r="AG69" s="77"/>
      <c r="AI69" s="77"/>
      <c r="AJ69" s="107"/>
      <c r="AK69" s="107"/>
      <c r="AL69" s="107"/>
      <c r="AM69" s="107"/>
      <c r="AO69" s="77"/>
      <c r="AP69" s="107"/>
      <c r="AQ69" s="107"/>
      <c r="AR69" s="107"/>
      <c r="AS69" s="107"/>
      <c r="AU69" s="77"/>
      <c r="AV69" s="107"/>
      <c r="AW69" s="107"/>
      <c r="AX69" s="107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C70" s="105" t="s">
        <v>157</v>
      </c>
      <c r="E70" s="83"/>
      <c r="H70" s="77"/>
      <c r="I70" s="77"/>
      <c r="J70" s="81" t="s">
        <v>156</v>
      </c>
      <c r="L70" s="105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7"/>
      <c r="AE70" s="107"/>
      <c r="AF70" s="107"/>
      <c r="AG70" s="77"/>
      <c r="AI70" s="77"/>
      <c r="AJ70" s="107"/>
      <c r="AK70" s="107"/>
      <c r="AL70" s="107"/>
      <c r="AM70" s="107"/>
      <c r="AO70" s="77"/>
      <c r="AP70" s="107"/>
      <c r="AQ70" s="107"/>
      <c r="AR70" s="107"/>
      <c r="AS70" s="107"/>
      <c r="AU70" s="77"/>
      <c r="AV70" s="107"/>
      <c r="AW70" s="107"/>
      <c r="AX70" s="107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2" t="s">
        <v>168</v>
      </c>
      <c r="B71" s="122"/>
      <c r="C71" s="122"/>
      <c r="D71" s="122"/>
      <c r="E71" s="122"/>
      <c r="F71" s="10">
        <v>46203</v>
      </c>
      <c r="H71" s="77"/>
      <c r="I71" s="77"/>
      <c r="J71" s="122" t="s">
        <v>169</v>
      </c>
      <c r="K71" s="122"/>
      <c r="L71" s="122"/>
      <c r="M71" s="122"/>
      <c r="N71" s="122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7"/>
      <c r="AE71" s="107"/>
      <c r="AF71" s="107"/>
      <c r="AG71" s="77"/>
      <c r="AI71" s="77"/>
      <c r="AJ71" s="107"/>
      <c r="AK71" s="107"/>
      <c r="AL71" s="107"/>
      <c r="AM71" s="107"/>
      <c r="AO71" s="77"/>
      <c r="AP71" s="107"/>
      <c r="AQ71" s="107"/>
      <c r="AR71" s="107"/>
      <c r="AS71" s="107"/>
      <c r="AU71" s="77"/>
      <c r="AV71" s="107"/>
      <c r="AW71" s="107"/>
      <c r="AX71" s="107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Coreia do Sul</v>
      </c>
      <c r="B72" s="2">
        <v>1</v>
      </c>
      <c r="C72" s="105" t="s">
        <v>12</v>
      </c>
      <c r="D72" s="4">
        <v>1</v>
      </c>
      <c r="E72" s="83" t="str">
        <f>INDEX($AC$38:$AC$49, MATCH( RIGHT(INDEX(Matriz!B:B, MATCH(BI1, Matriz!J:J, 0)), 1), $AG$38:$AG$49, 0))</f>
        <v>Arábia Saudita</v>
      </c>
      <c r="F72" s="8" t="s">
        <v>39</v>
      </c>
      <c r="H72" s="77"/>
      <c r="I72" s="77"/>
      <c r="J72" s="80" t="str">
        <f>IF(B72 = "", "", IF(B72 &gt; D72, A72, IF(D72 &gt; B72, E72, IF(D73 &gt; B73, E72, A72))))</f>
        <v>Arábia Saudita</v>
      </c>
      <c r="K72" s="1">
        <v>0</v>
      </c>
      <c r="L72" s="105" t="s">
        <v>12</v>
      </c>
      <c r="M72" s="77">
        <v>3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7"/>
      <c r="AE72" s="107"/>
      <c r="AF72" s="107"/>
      <c r="AG72" s="77"/>
      <c r="AI72" s="77"/>
      <c r="AJ72" s="107"/>
      <c r="AK72" s="107"/>
      <c r="AL72" s="107"/>
      <c r="AM72" s="107"/>
      <c r="AO72" s="77"/>
      <c r="AP72" s="107"/>
      <c r="AQ72" s="107"/>
      <c r="AR72" s="107"/>
      <c r="AS72" s="107"/>
      <c r="AU72" s="77"/>
      <c r="AV72" s="107"/>
      <c r="AW72" s="107"/>
      <c r="AX72" s="107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B73" s="2">
        <v>4</v>
      </c>
      <c r="C73" s="105" t="s">
        <v>157</v>
      </c>
      <c r="D73" s="4">
        <v>5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7"/>
      <c r="AE73" s="107"/>
      <c r="AF73" s="107"/>
      <c r="AG73" s="77"/>
      <c r="AI73" s="77"/>
      <c r="AJ73" s="107"/>
      <c r="AK73" s="107"/>
      <c r="AL73" s="107"/>
      <c r="AM73" s="107"/>
      <c r="AO73" s="77"/>
      <c r="AP73" s="107"/>
      <c r="AQ73" s="107"/>
      <c r="AR73" s="107"/>
      <c r="AS73" s="107"/>
      <c r="AU73" s="77"/>
      <c r="AV73" s="107"/>
      <c r="AW73" s="107"/>
      <c r="AX73" s="107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2" t="s">
        <v>170</v>
      </c>
      <c r="B74" s="122"/>
      <c r="C74" s="122"/>
      <c r="D74" s="122"/>
      <c r="E74" s="122"/>
      <c r="F74" s="10">
        <v>46204</v>
      </c>
      <c r="H74" s="77"/>
      <c r="I74" s="77"/>
      <c r="J74" s="122" t="s">
        <v>171</v>
      </c>
      <c r="K74" s="122"/>
      <c r="L74" s="122"/>
      <c r="M74" s="122"/>
      <c r="N74" s="122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7"/>
      <c r="AE74" s="107"/>
      <c r="AF74" s="107"/>
      <c r="AG74" s="77"/>
      <c r="AI74" s="77"/>
      <c r="AJ74" s="107"/>
      <c r="AK74" s="107"/>
      <c r="AL74" s="107"/>
      <c r="AM74" s="107"/>
      <c r="AO74" s="77"/>
      <c r="AP74" s="107"/>
      <c r="AQ74" s="107"/>
      <c r="AR74" s="107"/>
      <c r="AS74" s="107"/>
      <c r="AU74" s="77"/>
      <c r="AV74" s="107"/>
      <c r="AW74" s="107"/>
      <c r="AX74" s="107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0</v>
      </c>
      <c r="E75" s="83" t="str">
        <f>INDEX($AC$38:$AC$49, MATCH( RIGHT(INDEX(Matriz!I:I, MATCH(BI1, Matriz!J:J, 0)), 1), $AG$38:$AG$49, 0))</f>
        <v>Senegal</v>
      </c>
      <c r="F75" s="8" t="s">
        <v>16</v>
      </c>
      <c r="H75" s="77"/>
      <c r="I75" s="77"/>
      <c r="J75" s="80" t="str">
        <f>IF(B84 = "", "", IF(B84 &gt; D84, A84, IF(D84 &gt; B84, E84, IF(D85 &gt; B85, E84, A84))))</f>
        <v>Croácia</v>
      </c>
      <c r="K75" s="1">
        <v>1</v>
      </c>
      <c r="L75" s="105" t="s">
        <v>12</v>
      </c>
      <c r="M75" s="77">
        <v>2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7"/>
      <c r="AE75" s="107"/>
      <c r="AF75" s="107"/>
      <c r="AG75" s="77"/>
      <c r="AI75" s="77"/>
      <c r="AJ75" s="107"/>
      <c r="AK75" s="107"/>
      <c r="AL75" s="107"/>
      <c r="AM75" s="107"/>
      <c r="AO75" s="77"/>
      <c r="AP75" s="107"/>
      <c r="AQ75" s="107"/>
      <c r="AR75" s="107"/>
      <c r="AS75" s="107"/>
      <c r="AU75" s="77"/>
      <c r="AV75" s="107"/>
      <c r="AW75" s="107"/>
      <c r="AX75" s="107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5" t="s">
        <v>157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7"/>
      <c r="AE76" s="107"/>
      <c r="AF76" s="107"/>
      <c r="AG76" s="77"/>
      <c r="AI76" s="77"/>
      <c r="AJ76" s="107"/>
      <c r="AK76" s="107"/>
      <c r="AL76" s="107"/>
      <c r="AM76" s="107"/>
      <c r="AO76" s="77"/>
      <c r="AP76" s="107"/>
      <c r="AQ76" s="107"/>
      <c r="AR76" s="107"/>
      <c r="AS76" s="107"/>
      <c r="AU76" s="77"/>
      <c r="AV76" s="107"/>
      <c r="AW76" s="107"/>
      <c r="AX76" s="107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2" t="s">
        <v>172</v>
      </c>
      <c r="B77" s="122"/>
      <c r="C77" s="122"/>
      <c r="D77" s="122"/>
      <c r="E77" s="122"/>
      <c r="F77" s="10">
        <v>46204</v>
      </c>
      <c r="H77" s="77"/>
      <c r="I77" s="77"/>
      <c r="J77" s="122" t="s">
        <v>173</v>
      </c>
      <c r="K77" s="122"/>
      <c r="L77" s="122"/>
      <c r="M77" s="122"/>
      <c r="N77" s="122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7"/>
      <c r="AE77" s="107"/>
      <c r="AF77" s="107"/>
      <c r="AG77" s="77"/>
      <c r="AI77" s="77"/>
      <c r="AJ77" s="107"/>
      <c r="AK77" s="107"/>
      <c r="AL77" s="107"/>
      <c r="AM77" s="107"/>
      <c r="AO77" s="77"/>
      <c r="AP77" s="107"/>
      <c r="AQ77" s="107"/>
      <c r="AR77" s="107"/>
      <c r="AS77" s="107"/>
      <c r="AU77" s="77"/>
      <c r="AV77" s="107"/>
      <c r="AW77" s="107"/>
      <c r="AX77" s="107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Estados Unidos</v>
      </c>
      <c r="B78" s="2">
        <v>1</v>
      </c>
      <c r="C78" s="105" t="s">
        <v>12</v>
      </c>
      <c r="D78" s="4">
        <v>0</v>
      </c>
      <c r="E78" s="83" t="str">
        <f>INDEX($AC$38:$AC$49, MATCH( RIGHT(INDEX(Matriz!D:D, MATCH(BI1, Matriz!J:J, 0)), 1), $AG$38:$AG$49, 0))</f>
        <v>Bósnia e H.</v>
      </c>
      <c r="F78" s="8" t="s">
        <v>83</v>
      </c>
      <c r="H78" s="77"/>
      <c r="I78" s="77"/>
      <c r="J78" s="80" t="str">
        <f>IF(B78 = "", "", IF(B78 &gt; D78, A78, IF(D78 &gt; B78, E78, IF(D79 &gt; B79, E78, A78))))</f>
        <v>Estados Unidos</v>
      </c>
      <c r="K78" s="1">
        <v>0</v>
      </c>
      <c r="L78" s="105" t="s">
        <v>12</v>
      </c>
      <c r="M78" s="77">
        <v>2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7"/>
      <c r="AE78" s="107"/>
      <c r="AF78" s="107"/>
      <c r="AG78" s="77"/>
      <c r="AI78" s="77"/>
      <c r="AJ78" s="107"/>
      <c r="AK78" s="107"/>
      <c r="AL78" s="107"/>
      <c r="AM78" s="107"/>
      <c r="AO78" s="77"/>
      <c r="AP78" s="107"/>
      <c r="AQ78" s="107"/>
      <c r="AR78" s="107"/>
      <c r="AS78" s="107"/>
      <c r="AU78" s="77"/>
      <c r="AV78" s="107"/>
      <c r="AW78" s="107"/>
      <c r="AX78" s="107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/>
      <c r="C79" s="105" t="s">
        <v>157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09" t="s">
        <v>3</v>
      </c>
      <c r="AD79" s="109" t="s">
        <v>4</v>
      </c>
      <c r="AE79" s="109" t="s">
        <v>5</v>
      </c>
      <c r="AF79" s="109" t="s">
        <v>6</v>
      </c>
      <c r="AG79" s="13"/>
      <c r="AH79" s="12"/>
      <c r="AI79" s="109" t="s">
        <v>7</v>
      </c>
      <c r="AJ79" s="109" t="s">
        <v>4</v>
      </c>
      <c r="AK79" s="109" t="s">
        <v>5</v>
      </c>
      <c r="AL79" s="109" t="s">
        <v>6</v>
      </c>
      <c r="AM79" s="109"/>
      <c r="AN79" s="12"/>
      <c r="AO79" s="109" t="s">
        <v>32</v>
      </c>
      <c r="AP79" s="109" t="s">
        <v>4</v>
      </c>
      <c r="AQ79" s="109" t="s">
        <v>5</v>
      </c>
      <c r="AR79" s="109" t="s">
        <v>6</v>
      </c>
      <c r="AS79" s="109"/>
      <c r="AT79" s="12"/>
      <c r="AU79" s="109" t="s">
        <v>33</v>
      </c>
      <c r="AV79" s="109" t="s">
        <v>4</v>
      </c>
      <c r="AW79" s="109" t="s">
        <v>5</v>
      </c>
      <c r="AX79" s="109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2" t="s">
        <v>174</v>
      </c>
      <c r="B80" s="122"/>
      <c r="C80" s="122"/>
      <c r="D80" s="122"/>
      <c r="E80" s="122"/>
      <c r="F80" s="10">
        <v>46204</v>
      </c>
      <c r="H80" s="77"/>
      <c r="I80" s="77"/>
      <c r="J80" s="122" t="s">
        <v>175</v>
      </c>
      <c r="K80" s="122"/>
      <c r="L80" s="122"/>
      <c r="M80" s="122"/>
      <c r="N80" s="122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09">
        <f>$G$3+$P$9+$Z$13</f>
        <v>6</v>
      </c>
      <c r="AE80" s="109">
        <f>$B$3+$K$9+$V$13-$D$3-$M$9-$T$13</f>
        <v>2</v>
      </c>
      <c r="AF80" s="109">
        <f>$B$3+$K$9+$V$13</f>
        <v>3</v>
      </c>
      <c r="AG80" s="13">
        <f>AD80+(AE80/100)+(AF80/10000)+0.00004</f>
        <v>6.02034</v>
      </c>
      <c r="AH80" s="12" t="s">
        <v>176</v>
      </c>
      <c r="AI80" s="11" t="s">
        <v>17</v>
      </c>
      <c r="AJ80" s="109">
        <f>Y$3+P$5+H$11</f>
        <v>7</v>
      </c>
      <c r="AK80" s="109">
        <f>AL80-V$3-M$5-B$11</f>
        <v>3</v>
      </c>
      <c r="AL80" s="109">
        <f>T$3+K$5+D$11</f>
        <v>4</v>
      </c>
      <c r="AM80" s="109">
        <f>AJ80+(AK80/100)+(AL80/10000)+0.00001</f>
        <v>7.0304099999999998</v>
      </c>
      <c r="AN80" s="12" t="s">
        <v>176</v>
      </c>
      <c r="AO80" s="11" t="s">
        <v>41</v>
      </c>
      <c r="AP80" s="109">
        <f>Z$9+P$15+G$13</f>
        <v>9</v>
      </c>
      <c r="AQ80" s="109">
        <f>AR80-T$9-M$15-D$13</f>
        <v>5</v>
      </c>
      <c r="AR80" s="109">
        <f>V$9+K$15+B$13</f>
        <v>9</v>
      </c>
      <c r="AS80" s="109">
        <f>AP80+(AQ80/100)+(AR80/10000)+0.00004</f>
        <v>9.0509400000000007</v>
      </c>
      <c r="AT80" s="12" t="s">
        <v>176</v>
      </c>
      <c r="AU80" s="11" t="s">
        <v>61</v>
      </c>
      <c r="AV80" s="109">
        <f>Y$23+P$17+H$17</f>
        <v>5</v>
      </c>
      <c r="AW80" s="109">
        <f>AX80-V$23-M$17-B$17</f>
        <v>1</v>
      </c>
      <c r="AX80" s="109">
        <f>T$23+K$17+D$17</f>
        <v>2</v>
      </c>
      <c r="AY80" s="11">
        <f>AV80+(AW80/100)+(AX80/10000)+0.00001</f>
        <v>5.0102099999999998</v>
      </c>
      <c r="AZ80" s="11"/>
      <c r="BA80" s="11"/>
      <c r="BB80" s="12" t="s">
        <v>176</v>
      </c>
      <c r="BC80" s="11" t="str">
        <f>AC$4</f>
        <v>Tchéquia</v>
      </c>
      <c r="BD80" s="11">
        <f t="shared" ref="BD80:BF80" si="191">AD$4</f>
        <v>4</v>
      </c>
      <c r="BE80" s="11">
        <f t="shared" si="191"/>
        <v>1</v>
      </c>
      <c r="BF80" s="11">
        <f t="shared" si="191"/>
        <v>3</v>
      </c>
      <c r="BG80" s="12">
        <f>BD80+(BE80/100)+(BF80/10000)+0.000012</f>
        <v>4.0103119999999999</v>
      </c>
      <c r="BH80" s="11" t="s">
        <v>177</v>
      </c>
    </row>
    <row r="81" spans="1:60">
      <c r="A81" s="80" t="str">
        <f>AC20</f>
        <v>Bélgica</v>
      </c>
      <c r="B81" s="2">
        <v>2</v>
      </c>
      <c r="C81" s="105" t="s">
        <v>12</v>
      </c>
      <c r="D81" s="4">
        <v>0</v>
      </c>
      <c r="E81" s="83" t="str">
        <f>INDEX($AC$38:$AC$49, MATCH( RIGHT(INDEX(Matriz!F:F, MATCH(BI1, Matriz!J:J, 0)), 1), $AG$38:$AG$49, 0))</f>
        <v>Tchéquia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1</v>
      </c>
      <c r="L81" s="105" t="s">
        <v>12</v>
      </c>
      <c r="M81" s="77">
        <v>0</v>
      </c>
      <c r="N81" s="83" t="str">
        <f>IF(B99 = "", "", IF(B99 &gt; D99, A99, IF(D99 &gt; B99, E99, IF(D100 &gt; B100, E99, A99))))</f>
        <v>Turquia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09">
        <f>$P$3+$H$5+$Y$13</f>
        <v>4</v>
      </c>
      <c r="AE81" s="109">
        <f>$D$5-$B$5+$K$3-$M$3+$T$13-$V$13</f>
        <v>1</v>
      </c>
      <c r="AF81" s="109">
        <f>$D$5+$T$13+$K$3</f>
        <v>3</v>
      </c>
      <c r="AG81" s="13">
        <f>AD81+(AE81/100)+(AF81/10000)+0.00001</f>
        <v>4.0103099999999996</v>
      </c>
      <c r="AH81" s="12" t="s">
        <v>178</v>
      </c>
      <c r="AI81" s="11" t="s">
        <v>24</v>
      </c>
      <c r="AJ81" s="109">
        <f>Y$5+Q$5+H$7</f>
        <v>3</v>
      </c>
      <c r="AK81" s="109">
        <f>AL81-V$5-K$5-B$7</f>
        <v>-2</v>
      </c>
      <c r="AL81" s="109">
        <f>T$5+M$5+D$7</f>
        <v>1</v>
      </c>
      <c r="AM81" s="109">
        <f>AJ81+(AK81/100)+(AL81/10000)+0.00003</f>
        <v>2.9801300000000004</v>
      </c>
      <c r="AN81" s="12" t="s">
        <v>178</v>
      </c>
      <c r="AO81" s="11" t="s">
        <v>30</v>
      </c>
      <c r="AP81" s="109">
        <f>Y$7+Q$13+H$13</f>
        <v>6</v>
      </c>
      <c r="AQ81" s="109">
        <f>AR81-V$7-K$13-B$13</f>
        <v>2</v>
      </c>
      <c r="AR81" s="109">
        <f>T$7+M$13+D$13</f>
        <v>6</v>
      </c>
      <c r="AS81" s="109">
        <f>AP81+(AQ81/100)+(AR81/10000)+0.00003</f>
        <v>6.0206299999999997</v>
      </c>
      <c r="AT81" s="12" t="s">
        <v>178</v>
      </c>
      <c r="AU81" s="11" t="s">
        <v>37</v>
      </c>
      <c r="AV81" s="109">
        <f>Z$23+P$11+G$9</f>
        <v>7</v>
      </c>
      <c r="AW81" s="109">
        <f>AX81-T$23-M$11-D$9</f>
        <v>3</v>
      </c>
      <c r="AX81" s="109">
        <f>V$23+K$11+B$9</f>
        <v>4</v>
      </c>
      <c r="AY81" s="11">
        <f>AV81+(AW81/100)+(AX81/10000)+0.00004</f>
        <v>7.0304400000000005</v>
      </c>
      <c r="AZ81" s="11"/>
      <c r="BA81" s="11"/>
      <c r="BB81" s="12" t="s">
        <v>178</v>
      </c>
      <c r="BC81" s="11" t="str">
        <f>AC$16</f>
        <v>Alemanha</v>
      </c>
      <c r="BD81" s="11">
        <f>AD$16</f>
        <v>3</v>
      </c>
      <c r="BE81" s="11">
        <f>AE$16</f>
        <v>4</v>
      </c>
      <c r="BF81" s="11">
        <f>AF$16</f>
        <v>7</v>
      </c>
      <c r="BG81" s="12">
        <f>BD81+(BE81/100)+(BF81/10000)+0.000008</f>
        <v>3.040708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09">
        <f>$G$5+$Q$9+$Z$11</f>
        <v>7</v>
      </c>
      <c r="AE82" s="109">
        <f>$B$5+$M$9+$V$11-$T$11-$K$9-$D$5</f>
        <v>2</v>
      </c>
      <c r="AF82" s="109">
        <f>$B$5+$M$9+$V$11</f>
        <v>3</v>
      </c>
      <c r="AG82" s="13">
        <f>AD82+(AE82/100)+(AF82/10000)+0.00002</f>
        <v>7.0203199999999999</v>
      </c>
      <c r="AH82" s="12" t="s">
        <v>180</v>
      </c>
      <c r="AI82" s="11" t="s">
        <v>18</v>
      </c>
      <c r="AJ82" s="109">
        <f>Z$3+P$7+G$7</f>
        <v>7</v>
      </c>
      <c r="AK82" s="109">
        <f>AL82-T$3-M$7-D$7</f>
        <v>3</v>
      </c>
      <c r="AL82" s="109">
        <f>V$3+K$7+B$7</f>
        <v>5</v>
      </c>
      <c r="AM82" s="109">
        <f>AJ82+(AK82/100)+(AL82/10000)+0.00004</f>
        <v>7.0305400000000002</v>
      </c>
      <c r="AN82" s="12" t="s">
        <v>180</v>
      </c>
      <c r="AO82" s="11" t="s">
        <v>40</v>
      </c>
      <c r="AP82" s="109">
        <f>Y$9+P$13+H$15</f>
        <v>3</v>
      </c>
      <c r="AQ82" s="109">
        <f>AR82-V$9-M$13-B$15</f>
        <v>0</v>
      </c>
      <c r="AR82" s="109">
        <f>T$9+K$13+D$15</f>
        <v>4</v>
      </c>
      <c r="AS82" s="109">
        <f>AP82+(AQ82/100)+(AR82/10000)+0.00001</f>
        <v>3.00041</v>
      </c>
      <c r="AT82" s="12" t="s">
        <v>180</v>
      </c>
      <c r="AU82" s="11" t="s">
        <v>38</v>
      </c>
      <c r="AV82" s="109">
        <f>Y$25+Q$17+H$9</f>
        <v>4</v>
      </c>
      <c r="AW82" s="109">
        <f>AX82-V$25-K$17-B$9</f>
        <v>-1</v>
      </c>
      <c r="AX82" s="109">
        <f>T$25+M$17+D$9</f>
        <v>3</v>
      </c>
      <c r="AY82" s="11">
        <f>AV82+(AW82/100)+(AX82/10000)+0.00003</f>
        <v>3.9903300000000006</v>
      </c>
      <c r="AZ82" s="11"/>
      <c r="BA82" s="11"/>
      <c r="BB82" s="12" t="s">
        <v>180</v>
      </c>
      <c r="BC82" s="11" t="str">
        <f>AC$28</f>
        <v>Senegal</v>
      </c>
      <c r="BD82" s="11">
        <f>AD$28</f>
        <v>3</v>
      </c>
      <c r="BE82" s="11">
        <f>AE$28</f>
        <v>0</v>
      </c>
      <c r="BF82" s="11">
        <f>AF$28</f>
        <v>5</v>
      </c>
      <c r="BG82" s="12">
        <f>BD82+(BE82/100)+(BF82/10000)+0.000004</f>
        <v>3.0005040000000003</v>
      </c>
      <c r="BH82" s="11" t="s">
        <v>181</v>
      </c>
    </row>
    <row r="83" spans="1:60">
      <c r="A83" s="122" t="s">
        <v>182</v>
      </c>
      <c r="B83" s="122"/>
      <c r="C83" s="122"/>
      <c r="D83" s="122"/>
      <c r="E83" s="122"/>
      <c r="F83" s="10">
        <v>46205</v>
      </c>
      <c r="H83" s="77"/>
      <c r="I83" s="77"/>
      <c r="J83" s="122" t="s">
        <v>183</v>
      </c>
      <c r="K83" s="122"/>
      <c r="L83" s="122"/>
      <c r="M83" s="122"/>
      <c r="N83" s="122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09">
        <f>$H$3+$Q$3+$Y$11</f>
        <v>0</v>
      </c>
      <c r="AE83" s="109">
        <f>$M$3+$D$3+$T$11-$V$11-$K$3-$B$3</f>
        <v>-5</v>
      </c>
      <c r="AF83" s="109">
        <f>$M$3+$D$3+$T$11</f>
        <v>0</v>
      </c>
      <c r="AG83" s="13">
        <f>AD83+(AE83/100)+(AF83/10000)+0.00003</f>
        <v>-4.9970000000000001E-2</v>
      </c>
      <c r="AH83" s="12" t="s">
        <v>185</v>
      </c>
      <c r="AI83" s="11" t="s">
        <v>25</v>
      </c>
      <c r="AJ83" s="109">
        <f>Z$5+Q$7+G$11</f>
        <v>0</v>
      </c>
      <c r="AK83" s="109">
        <f>AL83-T$5-K$7-D$11</f>
        <v>-4</v>
      </c>
      <c r="AL83" s="109">
        <f>V$5+M$7+B$11</f>
        <v>1</v>
      </c>
      <c r="AM83" s="109">
        <f>AJ83+(AK83/100)+(AL83/10000)+0.00002</f>
        <v>-3.9879999999999999E-2</v>
      </c>
      <c r="AN83" s="12" t="s">
        <v>185</v>
      </c>
      <c r="AO83" s="11" t="s">
        <v>31</v>
      </c>
      <c r="AP83" s="109">
        <f>Z$7+Q$15+G$15</f>
        <v>0</v>
      </c>
      <c r="AQ83" s="109">
        <f>AR83-T$7-K$15-D$15</f>
        <v>-7</v>
      </c>
      <c r="AR83" s="109">
        <f>V$7+M$15+B$15</f>
        <v>2</v>
      </c>
      <c r="AS83" s="109">
        <f>AP83+(AQ83/100)+(AR83/10000)+0.00002</f>
        <v>-6.9779999999999995E-2</v>
      </c>
      <c r="AT83" s="12" t="s">
        <v>185</v>
      </c>
      <c r="AU83" s="11" t="s">
        <v>45</v>
      </c>
      <c r="AV83" s="109">
        <f>Z$25+Q$11+G$17</f>
        <v>0</v>
      </c>
      <c r="AW83" s="109">
        <f>AX83-T$25-K$11-D$17</f>
        <v>-3</v>
      </c>
      <c r="AX83" s="109">
        <f>V$25+M$11+B$17</f>
        <v>0</v>
      </c>
      <c r="AY83" s="11">
        <f>AV83+(AW83/100)+(AX83/10000)+0.00002</f>
        <v>-2.998E-2</v>
      </c>
      <c r="AZ83" s="11"/>
      <c r="BA83" s="11"/>
      <c r="BB83" s="12" t="s">
        <v>185</v>
      </c>
      <c r="BC83" s="11" t="str">
        <f>AI$4</f>
        <v>Bósnia e H.</v>
      </c>
      <c r="BD83" s="11">
        <f t="shared" ref="BD83:BF83" si="192">AJ$4</f>
        <v>3</v>
      </c>
      <c r="BE83" s="11">
        <f t="shared" si="192"/>
        <v>-2</v>
      </c>
      <c r="BF83" s="11">
        <f t="shared" si="192"/>
        <v>1</v>
      </c>
      <c r="BG83" s="12">
        <f>BD83+(BE83/100)+(BF83/10000)+0.000011</f>
        <v>2.9801110000000004</v>
      </c>
      <c r="BH83" s="11" t="s">
        <v>186</v>
      </c>
    </row>
    <row r="84" spans="1:60">
      <c r="A84" s="80" t="str">
        <f>AC33</f>
        <v>Colômbia</v>
      </c>
      <c r="B84" s="2">
        <v>0</v>
      </c>
      <c r="C84" s="105" t="s">
        <v>12</v>
      </c>
      <c r="D84" s="4">
        <v>0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Alemanha</v>
      </c>
      <c r="K84" s="1">
        <v>0</v>
      </c>
      <c r="L84" s="105" t="s">
        <v>12</v>
      </c>
      <c r="M84" s="77">
        <v>1</v>
      </c>
      <c r="N84" s="83" t="str">
        <f>IF(B96 = "", "", IF(B96 &gt; D96, A96, IF(D96 &gt; B96, E96, IF(D97 &gt; B97, E96, A96))))</f>
        <v>Portugal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09"/>
      <c r="AE84" s="109"/>
      <c r="AF84" s="109"/>
      <c r="AG84" s="13"/>
      <c r="AH84" s="12"/>
      <c r="AI84" s="11"/>
      <c r="AJ84" s="109"/>
      <c r="AK84" s="109"/>
      <c r="AL84" s="109"/>
      <c r="AM84" s="109"/>
      <c r="AN84" s="12"/>
      <c r="AO84" s="14"/>
      <c r="AP84" s="109"/>
      <c r="AQ84" s="109"/>
      <c r="AR84" s="109"/>
      <c r="AS84" s="109"/>
      <c r="AT84" s="12"/>
      <c r="AU84" s="11"/>
      <c r="AV84" s="109"/>
      <c r="AW84" s="109"/>
      <c r="AX84" s="109"/>
      <c r="AY84" s="11"/>
      <c r="AZ84" s="11"/>
      <c r="BA84" s="11"/>
      <c r="BB84" s="12" t="s">
        <v>188</v>
      </c>
      <c r="BC84" s="11" t="str">
        <f>AI$16</f>
        <v>Suécia</v>
      </c>
      <c r="BD84" s="11">
        <f>AJ$16</f>
        <v>5</v>
      </c>
      <c r="BE84" s="11">
        <f>AK$16</f>
        <v>2</v>
      </c>
      <c r="BF84" s="11">
        <f>AL$16</f>
        <v>5</v>
      </c>
      <c r="BG84" s="12">
        <f>BD84+(BE84/100)+(BF84/10000)+0.000007</f>
        <v>5.0205069999999994</v>
      </c>
      <c r="BH84" s="11" t="s">
        <v>189</v>
      </c>
    </row>
    <row r="85" spans="1:60">
      <c r="A85" s="81" t="s">
        <v>156</v>
      </c>
      <c r="B85" s="2">
        <v>3</v>
      </c>
      <c r="C85" s="105" t="s">
        <v>157</v>
      </c>
      <c r="D85" s="4">
        <v>4</v>
      </c>
      <c r="E85" s="83"/>
      <c r="H85" s="77"/>
      <c r="I85" s="77"/>
      <c r="J85" s="81" t="s">
        <v>156</v>
      </c>
      <c r="L85" s="105" t="s">
        <v>157</v>
      </c>
      <c r="M85" s="77"/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3</v>
      </c>
      <c r="U85" s="103" t="s">
        <v>12</v>
      </c>
      <c r="V85" s="4">
        <v>3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09" t="s">
        <v>49</v>
      </c>
      <c r="AD85" s="109" t="s">
        <v>4</v>
      </c>
      <c r="AE85" s="109" t="s">
        <v>5</v>
      </c>
      <c r="AF85" s="109" t="s">
        <v>6</v>
      </c>
      <c r="AG85" s="13"/>
      <c r="AH85" s="12"/>
      <c r="AI85" s="109" t="s">
        <v>50</v>
      </c>
      <c r="AJ85" s="109" t="s">
        <v>4</v>
      </c>
      <c r="AK85" s="109" t="s">
        <v>5</v>
      </c>
      <c r="AL85" s="109" t="s">
        <v>6</v>
      </c>
      <c r="AM85" s="109"/>
      <c r="AN85" s="12"/>
      <c r="AO85" s="109" t="s">
        <v>74</v>
      </c>
      <c r="AP85" s="109" t="s">
        <v>4</v>
      </c>
      <c r="AQ85" s="109" t="s">
        <v>5</v>
      </c>
      <c r="AR85" s="109" t="s">
        <v>6</v>
      </c>
      <c r="AS85" s="109"/>
      <c r="AT85" s="12"/>
      <c r="AU85" s="109" t="s">
        <v>75</v>
      </c>
      <c r="AV85" s="109" t="s">
        <v>4</v>
      </c>
      <c r="AW85" s="109" t="s">
        <v>5</v>
      </c>
      <c r="AX85" s="109" t="s">
        <v>6</v>
      </c>
      <c r="AY85" s="11"/>
      <c r="AZ85" s="11"/>
      <c r="BA85" s="11"/>
      <c r="BB85" s="12" t="s">
        <v>190</v>
      </c>
      <c r="BC85" s="11" t="str">
        <f>AI$28</f>
        <v>Jordânia</v>
      </c>
      <c r="BD85" s="11">
        <f>AJ$28</f>
        <v>1</v>
      </c>
      <c r="BE85" s="11">
        <f>AK$28</f>
        <v>-5</v>
      </c>
      <c r="BF85" s="11">
        <f>AL$28</f>
        <v>0</v>
      </c>
      <c r="BG85" s="12">
        <f>BD85+(BE85/100)+(BF85/10000)+0.000003</f>
        <v>0.95000299999999993</v>
      </c>
      <c r="BH85" s="11" t="s">
        <v>191</v>
      </c>
    </row>
    <row r="86" spans="1:60">
      <c r="A86" s="122" t="s">
        <v>192</v>
      </c>
      <c r="B86" s="122"/>
      <c r="C86" s="122"/>
      <c r="D86" s="122"/>
      <c r="E86" s="122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T86" s="1">
        <v>5</v>
      </c>
      <c r="U86" s="103" t="s">
        <v>157</v>
      </c>
      <c r="V86" s="4">
        <v>4</v>
      </c>
      <c r="W86" s="88"/>
      <c r="Y86" s="77"/>
      <c r="Z86" s="77"/>
      <c r="AA86" s="77"/>
      <c r="AB86" s="12" t="s">
        <v>176</v>
      </c>
      <c r="AC86" s="11" t="s">
        <v>65</v>
      </c>
      <c r="AD86" s="109">
        <f>G$19+P$21+Z$17</f>
        <v>3</v>
      </c>
      <c r="AE86" s="109">
        <f>AF86-T$17-M$21-D$19</f>
        <v>4</v>
      </c>
      <c r="AF86" s="109">
        <f>V$17+K$21+B$19</f>
        <v>7</v>
      </c>
      <c r="AG86" s="13">
        <f>AD86+(AE86/100)+(AF86/10000)+0.00004</f>
        <v>3.04074</v>
      </c>
      <c r="AH86" s="12" t="s">
        <v>176</v>
      </c>
      <c r="AI86" s="11" t="s">
        <v>70</v>
      </c>
      <c r="AJ86" s="109">
        <f>Z$19+P$19+G$21</f>
        <v>5</v>
      </c>
      <c r="AK86" s="109">
        <f>AL86-M$19-D$21-T$19</f>
        <v>2</v>
      </c>
      <c r="AL86" s="109">
        <f>V$19+K$19+B$21</f>
        <v>5</v>
      </c>
      <c r="AM86" s="11">
        <f>AJ86+(AK86/100)+(AL86/10000)+0.00004</f>
        <v>5.0205399999999996</v>
      </c>
      <c r="AN86" s="12" t="s">
        <v>176</v>
      </c>
      <c r="AO86" s="11" t="s">
        <v>100</v>
      </c>
      <c r="AP86" s="109">
        <f>Z$35+P$29+G$29</f>
        <v>9</v>
      </c>
      <c r="AQ86" s="109">
        <f>AR86-T$35-M$29-D$29</f>
        <v>5</v>
      </c>
      <c r="AR86" s="109">
        <f>V$35+K$29+B$29</f>
        <v>5</v>
      </c>
      <c r="AS86" s="109">
        <f>AP86+(AQ86/100)+(AR86/10000)+0.00004</f>
        <v>9.0505400000000016</v>
      </c>
      <c r="AT86" s="12" t="s">
        <v>176</v>
      </c>
      <c r="AU86" s="11" t="s">
        <v>92</v>
      </c>
      <c r="AV86" s="109">
        <f>Z$33+P$27+G$27</f>
        <v>7</v>
      </c>
      <c r="AW86" s="109">
        <f>AX86-T$33-M$27-D$27</f>
        <v>6</v>
      </c>
      <c r="AX86" s="109">
        <f>V$33+K$27+B$27</f>
        <v>7</v>
      </c>
      <c r="AY86" s="11">
        <f>AV86+(AW86/100)+(AX86/10000)+0.00004</f>
        <v>7.06074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0</v>
      </c>
      <c r="BF86" s="11">
        <f>AF$10</f>
        <v>4</v>
      </c>
      <c r="BG86" s="12">
        <f>BD86+(BE86/100)+(BF86/10000)+0.00001</f>
        <v>3.00041</v>
      </c>
      <c r="BH86" s="11" t="s">
        <v>194</v>
      </c>
    </row>
    <row r="87" spans="1:60">
      <c r="A87" s="80" t="str">
        <f>AI20</f>
        <v>Espanha</v>
      </c>
      <c r="B87" s="2">
        <v>1</v>
      </c>
      <c r="C87" s="105" t="s">
        <v>12</v>
      </c>
      <c r="D87" s="4">
        <v>0</v>
      </c>
      <c r="E87" s="83" t="str">
        <f>AI27</f>
        <v>Argélia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09">
        <f>Z$15+Q$21+G$23</f>
        <v>7</v>
      </c>
      <c r="AE87" s="109">
        <f>AF87-T$15-K$21-D$23</f>
        <v>3</v>
      </c>
      <c r="AF87" s="109">
        <f>V$15+M$21+B$23</f>
        <v>6</v>
      </c>
      <c r="AG87" s="13">
        <f>AD87+(AE87/100)+(AF87/10000)+0.00002</f>
        <v>7.0306200000000008</v>
      </c>
      <c r="AH87" s="12" t="s">
        <v>178</v>
      </c>
      <c r="AI87" s="11" t="s">
        <v>79</v>
      </c>
      <c r="AJ87" s="109">
        <f>Y$21+Q$25+H$21</f>
        <v>5</v>
      </c>
      <c r="AK87" s="109">
        <f>AL87-V$21-K$25-B$21</f>
        <v>2</v>
      </c>
      <c r="AL87" s="109">
        <f>M$25+T$21+D$21</f>
        <v>5</v>
      </c>
      <c r="AM87" s="109">
        <f>AJ87+(AK87/100)+(AL87/10000)+0.00003</f>
        <v>5.020529999999999</v>
      </c>
      <c r="AN87" s="12" t="s">
        <v>178</v>
      </c>
      <c r="AO87" s="11" t="s">
        <v>102</v>
      </c>
      <c r="AP87" s="109">
        <f>Z$37+Q$29+G$33</f>
        <v>1</v>
      </c>
      <c r="AQ87" s="109">
        <f>AR87-T$37-K$29-D$33</f>
        <v>-3</v>
      </c>
      <c r="AR87" s="109">
        <f>V$37+M$29+B$33</f>
        <v>1</v>
      </c>
      <c r="AS87" s="109">
        <f>AP87+(AQ87/100)+(AR87/10000)+0.00002</f>
        <v>0.97011999999999998</v>
      </c>
      <c r="AT87" s="12" t="s">
        <v>178</v>
      </c>
      <c r="AU87" s="11" t="s">
        <v>108</v>
      </c>
      <c r="AV87" s="109">
        <f>Y$33+P$31+H$31</f>
        <v>7</v>
      </c>
      <c r="AW87" s="109">
        <f>AX87-V$33-M$31-B$31</f>
        <v>3</v>
      </c>
      <c r="AX87" s="109">
        <f>T$33+K$31+D$31</f>
        <v>4</v>
      </c>
      <c r="AY87" s="11">
        <f>AV87+(AW87/100)+(AX87/10000)+0.00001</f>
        <v>7.0304099999999998</v>
      </c>
      <c r="AZ87" s="11"/>
      <c r="BA87" s="11"/>
      <c r="BB87" s="12" t="s">
        <v>196</v>
      </c>
      <c r="BC87" s="11" t="str">
        <f>AC$22</f>
        <v>Nova Zelândia</v>
      </c>
      <c r="BD87" s="11">
        <f>AD$22</f>
        <v>2</v>
      </c>
      <c r="BE87" s="11">
        <f>AE$22</f>
        <v>-2</v>
      </c>
      <c r="BF87" s="11">
        <f>AF$22</f>
        <v>2</v>
      </c>
      <c r="BG87" s="12">
        <f>BD87+(BE87/100)+(BF87/10000)+0.000006</f>
        <v>1.9802059999999999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Brasil</v>
      </c>
      <c r="T88" s="1">
        <v>1</v>
      </c>
      <c r="U88" s="103" t="s">
        <v>12</v>
      </c>
      <c r="V88" s="4">
        <v>1</v>
      </c>
      <c r="W88" s="88" t="str">
        <f>IF(K99 = "", "", IF(K99 &gt; M99, J99, IF(M99 &gt; K99, N99, IF(M100 &gt; K100, N99, J99))))</f>
        <v>Portugal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09">
        <f>Y$17+P$23+H$23</f>
        <v>7</v>
      </c>
      <c r="AE88" s="109">
        <f>AF88-V$17-M$23-B$23</f>
        <v>4</v>
      </c>
      <c r="AF88" s="109">
        <f>T$17+K$23+D$23</f>
        <v>6</v>
      </c>
      <c r="AG88" s="13">
        <f>AD88+(AE88/100)+(AF88/10000)+0.00001</f>
        <v>7.04061</v>
      </c>
      <c r="AH88" s="12" t="s">
        <v>180</v>
      </c>
      <c r="AI88" s="11" t="s">
        <v>71</v>
      </c>
      <c r="AJ88" s="109">
        <f>G$25+Z$21+Q$19</f>
        <v>5</v>
      </c>
      <c r="AK88" s="109">
        <f>AL88-T$21-K$19-D$25</f>
        <v>2</v>
      </c>
      <c r="AL88" s="109">
        <f>V$21+M$19+B$25</f>
        <v>5</v>
      </c>
      <c r="AM88" s="109">
        <f>AJ88+(AK88/100)+(AL88/10000)+0.00002</f>
        <v>5.0205199999999994</v>
      </c>
      <c r="AN88" s="12" t="s">
        <v>180</v>
      </c>
      <c r="AO88" s="11" t="s">
        <v>101</v>
      </c>
      <c r="AP88" s="109">
        <f>Y$37+Q$33+H$29</f>
        <v>4</v>
      </c>
      <c r="AQ88" s="109">
        <f>AR88-V$37-K$33-B$29</f>
        <v>0</v>
      </c>
      <c r="AR88" s="109">
        <f>T$37+M$33+D$29</f>
        <v>2</v>
      </c>
      <c r="AS88" s="109">
        <f>AP88+(AQ88/100)+(AR88/10000)+0.00003</f>
        <v>4.0002300000000002</v>
      </c>
      <c r="AT88" s="12" t="s">
        <v>180</v>
      </c>
      <c r="AU88" s="11" t="s">
        <v>94</v>
      </c>
      <c r="AV88" s="109">
        <f>Z$31+Q$27+G$31</f>
        <v>3</v>
      </c>
      <c r="AW88" s="109">
        <f>AX88-T$31-K$27-D$31</f>
        <v>-2</v>
      </c>
      <c r="AX88" s="109">
        <f>V$31+M$27+B$31</f>
        <v>1</v>
      </c>
      <c r="AY88" s="11">
        <f>AV88+(AW88/100)+(AX88/10000)+0.00002</f>
        <v>2.9801200000000003</v>
      </c>
      <c r="AZ88" s="11"/>
      <c r="BA88" s="11"/>
      <c r="BB88" s="12" t="s">
        <v>199</v>
      </c>
      <c r="BC88" s="11" t="str">
        <f>AC$34</f>
        <v>Uzbequistão</v>
      </c>
      <c r="BD88" s="11">
        <f>AD$34</f>
        <v>1</v>
      </c>
      <c r="BE88" s="11">
        <f>AE$34</f>
        <v>-3</v>
      </c>
      <c r="BF88" s="11">
        <f>AF$34</f>
        <v>0</v>
      </c>
      <c r="BG88" s="12">
        <f>BD88+(BE88/100)+(BF88/10000)+0.000002</f>
        <v>0.97000199999999992</v>
      </c>
      <c r="BH88" s="11" t="s">
        <v>200</v>
      </c>
    </row>
    <row r="89" spans="1:60">
      <c r="A89" s="122" t="s">
        <v>201</v>
      </c>
      <c r="B89" s="122"/>
      <c r="C89" s="122"/>
      <c r="D89" s="122"/>
      <c r="E89" s="122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T89" s="1">
        <v>4</v>
      </c>
      <c r="U89" s="103" t="s">
        <v>157</v>
      </c>
      <c r="V89" s="4">
        <v>3</v>
      </c>
      <c r="W89" s="88"/>
      <c r="Y89" s="77"/>
      <c r="Z89" s="77"/>
      <c r="AA89" s="77"/>
      <c r="AB89" s="12" t="s">
        <v>185</v>
      </c>
      <c r="AC89" s="11" t="s">
        <v>55</v>
      </c>
      <c r="AD89" s="109">
        <f>H$19+Q$23+Y$15</f>
        <v>0</v>
      </c>
      <c r="AE89" s="109">
        <f>AF89-V$15-K$23-B$19</f>
        <v>-11</v>
      </c>
      <c r="AF89" s="109">
        <f>T$15+M$23+D$19</f>
        <v>0</v>
      </c>
      <c r="AG89" s="13">
        <f>AD89+(AE89/100)+(AF89/10000)+0.00003</f>
        <v>-0.10997</v>
      </c>
      <c r="AH89" s="12" t="s">
        <v>185</v>
      </c>
      <c r="AI89" s="11" t="s">
        <v>72</v>
      </c>
      <c r="AJ89" s="109">
        <f>Y$19+P$25+H$25</f>
        <v>0</v>
      </c>
      <c r="AK89" s="109">
        <f>AL89-V$19-M$25-B$25</f>
        <v>-6</v>
      </c>
      <c r="AL89" s="109">
        <f>T$19+K$25+D$25</f>
        <v>1</v>
      </c>
      <c r="AM89" s="109">
        <f>AJ89+(AK89/100)+(AL89/10000)+0.00001</f>
        <v>-5.9889999999999992E-2</v>
      </c>
      <c r="AN89" s="12" t="s">
        <v>185</v>
      </c>
      <c r="AO89" s="11" t="s">
        <v>114</v>
      </c>
      <c r="AP89" s="109">
        <f>Y$35+P$33+H$33</f>
        <v>2</v>
      </c>
      <c r="AQ89" s="109">
        <f>AR89-V$35-M$33-B$33</f>
        <v>-2</v>
      </c>
      <c r="AR89" s="109">
        <f>T$35+K$33+D$33</f>
        <v>2</v>
      </c>
      <c r="AS89" s="109">
        <f>AP89+(AQ89/100)+(AR89/10000)+0.00001</f>
        <v>1.98021</v>
      </c>
      <c r="AT89" s="12" t="s">
        <v>185</v>
      </c>
      <c r="AU89" s="11" t="s">
        <v>93</v>
      </c>
      <c r="AV89" s="109">
        <f>Y$31+Q$31+H$27</f>
        <v>0</v>
      </c>
      <c r="AW89" s="109">
        <f>AX89-V$31-K$31-B$27</f>
        <v>-7</v>
      </c>
      <c r="AX89" s="109">
        <f>T$31+M$31+D$27</f>
        <v>0</v>
      </c>
      <c r="AY89" s="11">
        <f>AV89+(AW89/100)+(AX89/10000)+0.00003</f>
        <v>-6.9970000000000004E-2</v>
      </c>
      <c r="AZ89" s="11"/>
      <c r="BA89" s="11"/>
      <c r="BB89" s="12" t="s">
        <v>203</v>
      </c>
      <c r="BC89" s="11" t="str">
        <f>AI$10</f>
        <v>Paraguai</v>
      </c>
      <c r="BD89" s="11">
        <f>AJ$10</f>
        <v>4</v>
      </c>
      <c r="BE89" s="11">
        <f>AK$10</f>
        <v>-1</v>
      </c>
      <c r="BF89" s="11">
        <f>AL$10</f>
        <v>3</v>
      </c>
      <c r="BG89" s="12">
        <f>BD89+(BE89/100)+(BF89/10000)+0.000009</f>
        <v>3.9903090000000003</v>
      </c>
      <c r="BH89" s="11" t="s">
        <v>204</v>
      </c>
    </row>
    <row r="90" spans="1:60">
      <c r="A90" s="80" t="str">
        <f>AI2</f>
        <v>Canadá</v>
      </c>
      <c r="B90" s="2">
        <v>0</v>
      </c>
      <c r="C90" s="105" t="s">
        <v>12</v>
      </c>
      <c r="D90" s="4">
        <v>1</v>
      </c>
      <c r="E90" s="83" t="str">
        <f>INDEX($AC$38:$AC$49, MATCH( RIGHT(INDEX(Matriz!C:C, MATCH(BI1, Matriz!J:J, 0)), 1), $AG$38:$AG$49, 0))</f>
        <v>Alemanha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2</v>
      </c>
      <c r="L90" s="103" t="s">
        <v>12</v>
      </c>
      <c r="M90" s="77">
        <v>0</v>
      </c>
      <c r="N90" s="88" t="str">
        <f>IF(K66 = "", "", IF(K66 &gt; M66, J66, IF(M66 &gt; K66, N66, IF(M67 &gt; K67, N66, J66))))</f>
        <v>Marrocos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09"/>
      <c r="AE90" s="109"/>
      <c r="AF90" s="109"/>
      <c r="AG90" s="13"/>
      <c r="AH90" s="12"/>
      <c r="AI90" s="11"/>
      <c r="AJ90" s="109"/>
      <c r="AK90" s="109"/>
      <c r="AL90" s="109"/>
      <c r="AM90" s="109"/>
      <c r="AN90" s="12"/>
      <c r="AO90" s="14"/>
      <c r="AP90" s="109"/>
      <c r="AQ90" s="109"/>
      <c r="AR90" s="109"/>
      <c r="AS90" s="109"/>
      <c r="AT90" s="12"/>
      <c r="AU90" s="11"/>
      <c r="AV90" s="109"/>
      <c r="AW90" s="109"/>
      <c r="AX90" s="109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3</v>
      </c>
      <c r="BE90" s="11">
        <f>AK$22</f>
        <v>-2</v>
      </c>
      <c r="BF90" s="11">
        <f>AL$22</f>
        <v>1</v>
      </c>
      <c r="BG90" s="12">
        <f>BD90+(BE90/100)+(BF90/10000)+0.000005</f>
        <v>2.980105</v>
      </c>
      <c r="BH90" s="11" t="s">
        <v>206</v>
      </c>
    </row>
    <row r="91" spans="1:60">
      <c r="A91" s="81" t="s">
        <v>156</v>
      </c>
      <c r="C91" s="105" t="s">
        <v>157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09" t="s">
        <v>87</v>
      </c>
      <c r="AD91" s="109" t="s">
        <v>4</v>
      </c>
      <c r="AE91" s="109" t="s">
        <v>5</v>
      </c>
      <c r="AF91" s="109" t="s">
        <v>6</v>
      </c>
      <c r="AG91" s="13"/>
      <c r="AH91" s="12"/>
      <c r="AI91" s="109" t="s">
        <v>88</v>
      </c>
      <c r="AJ91" s="109" t="s">
        <v>4</v>
      </c>
      <c r="AK91" s="109" t="s">
        <v>5</v>
      </c>
      <c r="AL91" s="109" t="s">
        <v>6</v>
      </c>
      <c r="AM91" s="109"/>
      <c r="AN91" s="12"/>
      <c r="AO91" s="109" t="s">
        <v>109</v>
      </c>
      <c r="AP91" s="109" t="s">
        <v>4</v>
      </c>
      <c r="AQ91" s="109" t="s">
        <v>5</v>
      </c>
      <c r="AR91" s="109" t="s">
        <v>6</v>
      </c>
      <c r="AS91" s="109"/>
      <c r="AT91" s="12"/>
      <c r="AU91" s="109" t="s">
        <v>110</v>
      </c>
      <c r="AV91" s="109" t="s">
        <v>4</v>
      </c>
      <c r="AW91" s="109" t="s">
        <v>5</v>
      </c>
      <c r="AX91" s="109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3</v>
      </c>
      <c r="BE91" s="11">
        <f>AK$34</f>
        <v>-3</v>
      </c>
      <c r="BF91" s="11">
        <f>AL$34</f>
        <v>2</v>
      </c>
      <c r="BG91" s="12">
        <f>BD91+(BE91/100)+(BF91/10000)+0.000001</f>
        <v>2.9702010000000003</v>
      </c>
      <c r="BH91" s="11" t="s">
        <v>208</v>
      </c>
    </row>
    <row r="92" spans="1:60">
      <c r="A92" s="122" t="s">
        <v>209</v>
      </c>
      <c r="B92" s="122"/>
      <c r="C92" s="122"/>
      <c r="D92" s="122"/>
      <c r="E92" s="122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09">
        <f>Z$27+P$37+G$35</f>
        <v>9</v>
      </c>
      <c r="AE92" s="109">
        <f>AF92-T$27-D$35-M$37</f>
        <v>5</v>
      </c>
      <c r="AF92" s="109">
        <f>V$27+K$37+B$35</f>
        <v>7</v>
      </c>
      <c r="AG92" s="13">
        <f>AD92+(AE92/100)+(AF92/10000)+0.00004</f>
        <v>9.0507400000000011</v>
      </c>
      <c r="AH92" s="12" t="s">
        <v>176</v>
      </c>
      <c r="AI92" s="11" t="s">
        <v>118</v>
      </c>
      <c r="AJ92" s="109">
        <f>Z$49+P$35+G$39</f>
        <v>9</v>
      </c>
      <c r="AK92" s="109">
        <f>AL92-T$49-M$35-D$39</f>
        <v>10</v>
      </c>
      <c r="AL92" s="109">
        <f>V$49+K$35+B$39</f>
        <v>10</v>
      </c>
      <c r="AM92" s="109">
        <f>AJ92+(AK92/100)+(AL92/10000)+0.00004</f>
        <v>9.1010399999999994</v>
      </c>
      <c r="AN92" s="12" t="s">
        <v>176</v>
      </c>
      <c r="AO92" s="11" t="s">
        <v>140</v>
      </c>
      <c r="AP92" s="109">
        <f>G$43+P$43+Z$43</f>
        <v>9</v>
      </c>
      <c r="AQ92" s="109">
        <f>AR92-T$43-M$43-D$43</f>
        <v>6</v>
      </c>
      <c r="AR92" s="109">
        <f>V$43+K$43+B$43</f>
        <v>6</v>
      </c>
      <c r="AS92" s="109">
        <f>AP92+(AQ92/100)+(AR92/10000)+0.00004</f>
        <v>9.0606400000000011</v>
      </c>
      <c r="AT92" s="12" t="s">
        <v>176</v>
      </c>
      <c r="AU92" s="11" t="s">
        <v>130</v>
      </c>
      <c r="AV92" s="109">
        <f>Z$39+P$45+G$45</f>
        <v>9</v>
      </c>
      <c r="AW92" s="109">
        <f>AX92-T$39-M$45-D$45</f>
        <v>8</v>
      </c>
      <c r="AX92" s="109">
        <f>V$39+K$45+B$45</f>
        <v>8</v>
      </c>
      <c r="AY92" s="11">
        <f>AV92+(AW92/100)+(AX92/10000)+0.00004</f>
        <v>9.0808400000000002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2</v>
      </c>
      <c r="C93" s="105" t="s">
        <v>12</v>
      </c>
      <c r="D93" s="4">
        <v>0</v>
      </c>
      <c r="E93" s="83" t="str">
        <f>AI21</f>
        <v>Uruguai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1</v>
      </c>
      <c r="L93" s="103" t="s">
        <v>12</v>
      </c>
      <c r="M93" s="77">
        <v>1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Espanha</v>
      </c>
      <c r="T93" s="1">
        <v>2</v>
      </c>
      <c r="U93" s="95" t="s">
        <v>12</v>
      </c>
      <c r="V93" s="4">
        <v>0</v>
      </c>
      <c r="W93" s="94" t="str">
        <f>IF(T88 = "", "", IF(T88 &lt; V88, S88, IF(V88 &lt; T88, W88, IF(T89 &lt; V89, S88, W88))))</f>
        <v>Portugal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09">
        <f>Y$27+P$39+H$37</f>
        <v>6</v>
      </c>
      <c r="AE93" s="109">
        <f>AF93-V$27-B$37-M$39</f>
        <v>2</v>
      </c>
      <c r="AF93" s="109">
        <f>T$27+K$39+D$37</f>
        <v>7</v>
      </c>
      <c r="AG93" s="13">
        <f>AD93+(AE93/100)+(AF93/10000)+0.00001</f>
        <v>6.0207099999999993</v>
      </c>
      <c r="AH93" s="12" t="s">
        <v>178</v>
      </c>
      <c r="AI93" s="11" t="s">
        <v>119</v>
      </c>
      <c r="AJ93" s="109">
        <f>Z$47+Q$35+G$41</f>
        <v>1</v>
      </c>
      <c r="AK93" s="109">
        <f>AL93-T$47-K$35-D$41</f>
        <v>-6</v>
      </c>
      <c r="AL93" s="109">
        <f>V$47+M$35+B$41</f>
        <v>0</v>
      </c>
      <c r="AM93" s="109">
        <f>AJ93+(AK93/100)+(AL93/10000)+0.00002</f>
        <v>0.94001999999999997</v>
      </c>
      <c r="AN93" s="12" t="s">
        <v>178</v>
      </c>
      <c r="AO93" s="11" t="s">
        <v>143</v>
      </c>
      <c r="AP93" s="109">
        <f>Y$43+P$49+H$49</f>
        <v>6</v>
      </c>
      <c r="AQ93" s="109">
        <f>AR93-V$43-M$49-B$49</f>
        <v>2</v>
      </c>
      <c r="AR93" s="109">
        <f>T$43+K$49+D$49</f>
        <v>4</v>
      </c>
      <c r="AS93" s="109">
        <f>AP93+(AQ93/100)+(AR93/10000)+0.00001</f>
        <v>6.0204099999999992</v>
      </c>
      <c r="AT93" s="12" t="s">
        <v>178</v>
      </c>
      <c r="AU93" s="11" t="s">
        <v>135</v>
      </c>
      <c r="AV93" s="109">
        <f>Y$41+Q$47+H$45</f>
        <v>6</v>
      </c>
      <c r="AW93" s="109">
        <f>AX93-V$41-K$47-B$45</f>
        <v>0</v>
      </c>
      <c r="AX93" s="109">
        <f>T$41+M$47+D$45</f>
        <v>2</v>
      </c>
      <c r="AY93" s="11">
        <f>AV93+(AW93/100)+(AX93/10000)+0.00003</f>
        <v>6.0002300000000002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K94" s="1">
        <v>5</v>
      </c>
      <c r="L94" s="103" t="s">
        <v>157</v>
      </c>
      <c r="M94" s="77">
        <v>3</v>
      </c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09">
        <f>Y$29+Q$39+H$35</f>
        <v>3</v>
      </c>
      <c r="AE94" s="109">
        <f>AF94-K$39-B$35-V$29</f>
        <v>0</v>
      </c>
      <c r="AF94" s="109">
        <f>D$35+M$39+T$29</f>
        <v>5</v>
      </c>
      <c r="AG94" s="13">
        <f>AD94+(AE94/100)+(AF94/10000)+0.00003</f>
        <v>3.0005300000000004</v>
      </c>
      <c r="AH94" s="12" t="s">
        <v>180</v>
      </c>
      <c r="AI94" s="11" t="s">
        <v>128</v>
      </c>
      <c r="AJ94" s="109">
        <f>Y$47+Q$41+H$39</f>
        <v>6</v>
      </c>
      <c r="AK94" s="109">
        <f>AL94-V$47-K$41-B$39</f>
        <v>1</v>
      </c>
      <c r="AL94" s="109">
        <f>T$47+M$41+D$39</f>
        <v>3</v>
      </c>
      <c r="AM94" s="109">
        <f>AJ94+(AK94/100)+(AL94/10000)+0.00003</f>
        <v>6.0103299999999997</v>
      </c>
      <c r="AN94" s="12" t="s">
        <v>180</v>
      </c>
      <c r="AO94" s="11" t="s">
        <v>141</v>
      </c>
      <c r="AP94" s="109">
        <f>Y$45+Q$49+H$43</f>
        <v>1</v>
      </c>
      <c r="AQ94" s="109">
        <f>AR94-V$45-K$49-B$43</f>
        <v>-5</v>
      </c>
      <c r="AR94" s="109">
        <f>T$45+M$49+D$43</f>
        <v>0</v>
      </c>
      <c r="AS94" s="109">
        <f>AP94+(AQ94/100)+(AR94/10000)+0.00003</f>
        <v>0.95002999999999993</v>
      </c>
      <c r="AT94" s="12" t="s">
        <v>180</v>
      </c>
      <c r="AU94" s="11" t="s">
        <v>136</v>
      </c>
      <c r="AV94" s="109">
        <f>Z$41+Q$45+G$47</f>
        <v>3</v>
      </c>
      <c r="AW94" s="109">
        <f>AX94-T$41-K$45-D$47</f>
        <v>-3</v>
      </c>
      <c r="AX94" s="109">
        <f>V$41+M$45+B$47</f>
        <v>2</v>
      </c>
      <c r="AY94" s="11">
        <f>AV94+(AW94/100)+(AX94/10000)+0.00002</f>
        <v>2.9702200000000003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2" t="s">
        <v>212</v>
      </c>
      <c r="B95" s="122"/>
      <c r="C95" s="122"/>
      <c r="D95" s="122"/>
      <c r="E95" s="122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09">
        <f>Z$29+Q$37+G$37</f>
        <v>0</v>
      </c>
      <c r="AE95" s="109">
        <f>AF95-T$29-K$37-D$37</f>
        <v>-7</v>
      </c>
      <c r="AF95" s="109">
        <f>V$29+M$37+B$37</f>
        <v>1</v>
      </c>
      <c r="AG95" s="13">
        <f>AD95+(AE95/100)+(AF95/10000)+0.00002</f>
        <v>-6.9879999999999998E-2</v>
      </c>
      <c r="AH95" s="12" t="s">
        <v>185</v>
      </c>
      <c r="AI95" s="11" t="s">
        <v>134</v>
      </c>
      <c r="AJ95" s="109">
        <f>Y$49+P$41+H$41</f>
        <v>1</v>
      </c>
      <c r="AK95" s="109">
        <f>AL95-V$49-M$41-B$41</f>
        <v>-5</v>
      </c>
      <c r="AL95" s="109">
        <f>T$49+D$41+K$41</f>
        <v>0</v>
      </c>
      <c r="AM95" s="109">
        <f>AJ95+(AK95/100)+(AL95/10000)+0.00001</f>
        <v>0.95000999999999991</v>
      </c>
      <c r="AN95" s="12" t="s">
        <v>185</v>
      </c>
      <c r="AO95" s="11" t="s">
        <v>142</v>
      </c>
      <c r="AP95" s="109">
        <f>Z$45+Q$43+G$49</f>
        <v>1</v>
      </c>
      <c r="AQ95" s="109">
        <f>AR95-T$45-K$43-D$49</f>
        <v>-3</v>
      </c>
      <c r="AR95" s="109">
        <f>V$45+M$43+B$49</f>
        <v>0</v>
      </c>
      <c r="AS95" s="109">
        <f>AP95+(AQ95/100)+(AR95/10000)+0.00002</f>
        <v>0.97001999999999999</v>
      </c>
      <c r="AT95" s="12" t="s">
        <v>185</v>
      </c>
      <c r="AU95" s="11" t="s">
        <v>129</v>
      </c>
      <c r="AV95" s="109">
        <f>Y$39+P$47+H$47</f>
        <v>0</v>
      </c>
      <c r="AW95" s="109">
        <f>AX95-V$39-M$47-B$47</f>
        <v>-5</v>
      </c>
      <c r="AX95" s="109">
        <f>T$39+K$47+D$47</f>
        <v>1</v>
      </c>
      <c r="AY95" s="109">
        <f>AV95+(AW95/100)+(AX95/10000)+0.00001</f>
        <v>-4.9889999999999997E-2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Portugal</v>
      </c>
      <c r="B96" s="2">
        <v>2</v>
      </c>
      <c r="C96" s="105" t="s">
        <v>12</v>
      </c>
      <c r="D96" s="4">
        <v>0</v>
      </c>
      <c r="E96" s="83" t="str">
        <f>INDEX($AC$38:$AC$49, MATCH( RIGHT(INDEX(Matriz!H:H, MATCH(BI1, Matriz!J:J, 0)), 1), $AG$38:$AG$49, 0))</f>
        <v>Paraguai</v>
      </c>
      <c r="F96" s="8" t="s">
        <v>214</v>
      </c>
      <c r="H96" s="77"/>
      <c r="I96" s="77"/>
      <c r="J96" s="86" t="str">
        <f>IF(K69 = "", "", IF(K69 &gt; M69, J69, IF(M69 &gt; K69, N69, IF(M70 &gt; K70, N69, J69))))</f>
        <v>Brasil</v>
      </c>
      <c r="K96" s="1">
        <v>2</v>
      </c>
      <c r="L96" s="103" t="s">
        <v>12</v>
      </c>
      <c r="M96" s="77">
        <v>1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7"/>
      <c r="AE96" s="107"/>
      <c r="AF96" s="107"/>
      <c r="AG96" s="77"/>
      <c r="AI96" s="77"/>
      <c r="AJ96" s="107"/>
      <c r="AK96" s="107"/>
      <c r="AL96" s="107"/>
      <c r="AM96" s="107"/>
      <c r="AO96" s="77"/>
      <c r="AP96" s="107"/>
      <c r="AQ96" s="107"/>
      <c r="AR96" s="107"/>
      <c r="AS96" s="107"/>
      <c r="AU96" s="77"/>
      <c r="AV96" s="107"/>
      <c r="AW96" s="107"/>
      <c r="AX96" s="107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L97" s="103" t="s">
        <v>157</v>
      </c>
      <c r="M97" s="77"/>
      <c r="N97" s="88"/>
      <c r="P97" s="77"/>
      <c r="Q97" s="77"/>
      <c r="R97" s="77"/>
      <c r="W97" s="77"/>
      <c r="Y97" s="77"/>
      <c r="Z97" s="77"/>
      <c r="AA97" s="77"/>
      <c r="AC97" s="77"/>
      <c r="AD97" s="107"/>
      <c r="AE97" s="107"/>
      <c r="AF97" s="107"/>
    </row>
    <row r="98" spans="1:32">
      <c r="A98" s="122" t="s">
        <v>215</v>
      </c>
      <c r="B98" s="122"/>
      <c r="C98" s="122"/>
      <c r="D98" s="122"/>
      <c r="E98" s="122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07"/>
      <c r="Z98" s="107"/>
      <c r="AA98" s="107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Turquia</v>
      </c>
      <c r="B99" s="2">
        <v>2</v>
      </c>
      <c r="C99" s="105" t="s">
        <v>12</v>
      </c>
      <c r="D99" s="4">
        <v>0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2</v>
      </c>
      <c r="L99" s="103" t="s">
        <v>12</v>
      </c>
      <c r="M99" s="77">
        <v>2</v>
      </c>
      <c r="N99" s="88" t="str">
        <f>IF(K84 = "", "", IF(K84 &gt; M84, J84, IF(M84 &gt; K84, N84, IF(M85 &gt; K85, N84, J84))))</f>
        <v>Portugal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França</v>
      </c>
      <c r="T99" s="1">
        <v>1</v>
      </c>
      <c r="U99" s="91" t="s">
        <v>12</v>
      </c>
      <c r="V99" s="4">
        <v>2</v>
      </c>
      <c r="W99" s="92" t="str">
        <f>IF(T88 = "", "", IF(T88 &gt; V88, S88, IF(V88 &gt; T88, W88, IF(V89 &gt; T89, W88, S88))))</f>
        <v>Brasil</v>
      </c>
      <c r="X99" s="8" t="s">
        <v>14</v>
      </c>
      <c r="Y99" s="107"/>
      <c r="Z99" s="107"/>
      <c r="AA99" s="107"/>
      <c r="AB99" s="136" t="str">
        <f>IF(T99 = "", "", IF(T99 &gt; V99, S99, IF(V99 &gt; T99, W99, IF(V100 &gt; T100, W99, S99))))</f>
        <v>Brasil</v>
      </c>
      <c r="AC99" s="136"/>
      <c r="AD99" s="136"/>
      <c r="AE99" s="136"/>
      <c r="AF99" s="136"/>
    </row>
    <row r="100" spans="1:32">
      <c r="A100" s="81" t="s">
        <v>156</v>
      </c>
      <c r="C100" s="105" t="s">
        <v>157</v>
      </c>
      <c r="E100" s="83"/>
      <c r="H100" s="77"/>
      <c r="I100" s="77"/>
      <c r="J100" s="86" t="s">
        <v>156</v>
      </c>
      <c r="K100" s="1">
        <v>5</v>
      </c>
      <c r="L100" s="103" t="s">
        <v>157</v>
      </c>
      <c r="M100" s="77">
        <v>6</v>
      </c>
      <c r="N100" s="88"/>
      <c r="P100" s="77"/>
      <c r="Q100" s="77"/>
      <c r="R100" s="77"/>
      <c r="S100" s="90" t="s">
        <v>156</v>
      </c>
      <c r="U100" s="91" t="s">
        <v>157</v>
      </c>
      <c r="W100" s="92"/>
      <c r="Y100" s="77"/>
      <c r="Z100" s="77"/>
      <c r="AA100" s="77"/>
      <c r="AC100" s="77"/>
      <c r="AD100" s="107"/>
      <c r="AE100" s="107"/>
      <c r="AF100" s="107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7"/>
      <c r="AE101" s="107"/>
      <c r="AF101" s="107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7"/>
      <c r="AE102" s="107"/>
      <c r="AF102" s="107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7"/>
      <c r="AE103" s="107"/>
      <c r="AF103" s="107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7"/>
      <c r="AE104" s="107"/>
      <c r="AF104" s="107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7"/>
      <c r="AE105" s="107"/>
      <c r="AF105" s="107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7"/>
      <c r="AE106" s="107"/>
      <c r="AF106" s="107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7"/>
      <c r="AE107" s="107"/>
      <c r="AF107" s="107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7"/>
      <c r="AE108" s="107"/>
      <c r="AF108" s="107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7"/>
      <c r="AE109" s="107"/>
      <c r="AF109" s="107"/>
    </row>
    <row r="110" spans="1:32">
      <c r="A110" s="123"/>
      <c r="B110" s="123"/>
      <c r="C110" s="123"/>
      <c r="D110" s="123"/>
      <c r="E110" s="123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7"/>
      <c r="AE110" s="107"/>
      <c r="AF110" s="107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7"/>
      <c r="AE111" s="107"/>
      <c r="AF111" s="107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7"/>
      <c r="AE112" s="107"/>
      <c r="AF112" s="107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J62:N62"/>
    <mergeCell ref="J42:N42"/>
    <mergeCell ref="J40:N40"/>
    <mergeCell ref="J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3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keywords/>
  <dc:description/>
  <cp:lastModifiedBy/>
  <cp:revision/>
  <dcterms:created xsi:type="dcterms:W3CDTF">2026-04-01T11:18:43Z</dcterms:created>
  <dcterms:modified xsi:type="dcterms:W3CDTF">2026-06-11T04:05:56Z</dcterms:modified>
  <cp:category/>
  <cp:contentStatus/>
</cp:coreProperties>
</file>